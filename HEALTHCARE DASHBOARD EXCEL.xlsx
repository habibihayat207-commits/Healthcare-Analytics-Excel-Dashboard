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b13235a3f00fefc2/Desktop/"/>
    </mc:Choice>
  </mc:AlternateContent>
  <xr:revisionPtr revIDLastSave="0" documentId="8_{31F6A2C8-681E-4A66-B535-DC7F61EFB252}" xr6:coauthVersionLast="47" xr6:coauthVersionMax="47" xr10:uidLastSave="{00000000-0000-0000-0000-000000000000}"/>
  <bookViews>
    <workbookView xWindow="-108" yWindow="-108" windowWidth="23256" windowHeight="12456" firstSheet="1" activeTab="1" xr2:uid="{00000000-000D-0000-FFFF-FFFF00000000}"/>
  </bookViews>
  <sheets>
    <sheet name="healthcare_500_rows" sheetId="1" r:id="rId1"/>
    <sheet name="DASHBOARD" sheetId="9" r:id="rId2"/>
    <sheet name="KPI DATA" sheetId="10" r:id="rId3"/>
  </sheets>
  <definedNames>
    <definedName name="Slicer_Department">#N/A</definedName>
    <definedName name="Slicer_Gender">#N/A</definedName>
    <definedName name="Slicer_Insurance">#N/A</definedName>
    <definedName name="Slicer_Outcome">#N/A</definedName>
  </definedNames>
  <calcPr calcId="191029"/>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 i="10" l="1"/>
  <c r="A4" i="10"/>
  <c r="A3" i="10"/>
  <c r="A2" i="10"/>
  <c r="A1" i="10"/>
  <c r="Z1" i="9"/>
</calcChain>
</file>

<file path=xl/sharedStrings.xml><?xml version="1.0" encoding="utf-8"?>
<sst xmlns="http://schemas.openxmlformats.org/spreadsheetml/2006/main" count="4012" uniqueCount="568">
  <si>
    <t>PatientID</t>
  </si>
  <si>
    <t>Name</t>
  </si>
  <si>
    <t>Age</t>
  </si>
  <si>
    <t>Gender</t>
  </si>
  <si>
    <t>Department</t>
  </si>
  <si>
    <t>Doctor</t>
  </si>
  <si>
    <t>VisitDate</t>
  </si>
  <si>
    <t>Diagnosis</t>
  </si>
  <si>
    <t>TreatmentCost</t>
  </si>
  <si>
    <t>StayDays</t>
  </si>
  <si>
    <t>Insurance</t>
  </si>
  <si>
    <t>Outcome</t>
  </si>
  <si>
    <t>P001</t>
  </si>
  <si>
    <t>Arif Shaikh</t>
  </si>
  <si>
    <t>F</t>
  </si>
  <si>
    <t>General</t>
  </si>
  <si>
    <t>Dr. Vivek</t>
  </si>
  <si>
    <t>Arrhythmia</t>
  </si>
  <si>
    <t>Yes</t>
  </si>
  <si>
    <t>Critical</t>
  </si>
  <si>
    <t>P002</t>
  </si>
  <si>
    <t>Yusuf Khan</t>
  </si>
  <si>
    <t>Hypertension</t>
  </si>
  <si>
    <t>P003</t>
  </si>
  <si>
    <t>Aisha Khan</t>
  </si>
  <si>
    <t>M</t>
  </si>
  <si>
    <t>Oncology</t>
  </si>
  <si>
    <t>Dr. Dev</t>
  </si>
  <si>
    <t>Infection</t>
  </si>
  <si>
    <t>No</t>
  </si>
  <si>
    <t>Recovered</t>
  </si>
  <si>
    <t>P004</t>
  </si>
  <si>
    <t>Imran Ansari</t>
  </si>
  <si>
    <t>Neurology</t>
  </si>
  <si>
    <t>Dr. Sneha</t>
  </si>
  <si>
    <t>Back Pain</t>
  </si>
  <si>
    <t>P005</t>
  </si>
  <si>
    <t>Gynecology</t>
  </si>
  <si>
    <t>Dr. Nidhi</t>
  </si>
  <si>
    <t>Stroke</t>
  </si>
  <si>
    <t>P006</t>
  </si>
  <si>
    <t>Neha Sharma</t>
  </si>
  <si>
    <t>Cardiology</t>
  </si>
  <si>
    <t>Dr. Arjun</t>
  </si>
  <si>
    <t>Chest Pain</t>
  </si>
  <si>
    <t>P007</t>
  </si>
  <si>
    <t>Kunal Sharma</t>
  </si>
  <si>
    <t>Under Treatment</t>
  </si>
  <si>
    <t>P008</t>
  </si>
  <si>
    <t>Sadiq Qureshi</t>
  </si>
  <si>
    <t>P009</t>
  </si>
  <si>
    <t>Vikram Rao</t>
  </si>
  <si>
    <t>Diabetes</t>
  </si>
  <si>
    <t>P010</t>
  </si>
  <si>
    <t>Rohan Verma</t>
  </si>
  <si>
    <t>Orthopedics</t>
  </si>
  <si>
    <t>Dr. Raj</t>
  </si>
  <si>
    <t>Breast Cancer</t>
  </si>
  <si>
    <t>P011</t>
  </si>
  <si>
    <t>Anjali Mehta</t>
  </si>
  <si>
    <t>P012</t>
  </si>
  <si>
    <t>P013</t>
  </si>
  <si>
    <t>Simran Patel</t>
  </si>
  <si>
    <t>Migraine</t>
  </si>
  <si>
    <t>P014</t>
  </si>
  <si>
    <t>Pregnancy Check</t>
  </si>
  <si>
    <t>P015</t>
  </si>
  <si>
    <t>P016</t>
  </si>
  <si>
    <t>Flu</t>
  </si>
  <si>
    <t>P017</t>
  </si>
  <si>
    <t>Aman Kumar</t>
  </si>
  <si>
    <t>P018</t>
  </si>
  <si>
    <t>Rehan Sheikh</t>
  </si>
  <si>
    <t>P019</t>
  </si>
  <si>
    <t>Asthma</t>
  </si>
  <si>
    <t>P020</t>
  </si>
  <si>
    <t>Kidney Stone</t>
  </si>
  <si>
    <t>P021</t>
  </si>
  <si>
    <t>Sana Ali</t>
  </si>
  <si>
    <t>P022</t>
  </si>
  <si>
    <t>P023</t>
  </si>
  <si>
    <t>P024</t>
  </si>
  <si>
    <t>Farheen Syed</t>
  </si>
  <si>
    <t>Lung Cancer</t>
  </si>
  <si>
    <t>P025</t>
  </si>
  <si>
    <t>P026</t>
  </si>
  <si>
    <t>P027</t>
  </si>
  <si>
    <t>P028</t>
  </si>
  <si>
    <t>Divya Rao</t>
  </si>
  <si>
    <t>P029</t>
  </si>
  <si>
    <t>P030</t>
  </si>
  <si>
    <t>P031</t>
  </si>
  <si>
    <t>Ritik Soni</t>
  </si>
  <si>
    <t>P032</t>
  </si>
  <si>
    <t>P033</t>
  </si>
  <si>
    <t>P034</t>
  </si>
  <si>
    <t>P035</t>
  </si>
  <si>
    <t>P036</t>
  </si>
  <si>
    <t>Sara Shaikh</t>
  </si>
  <si>
    <t>P037</t>
  </si>
  <si>
    <t>P038</t>
  </si>
  <si>
    <t>Pooja Gupta</t>
  </si>
  <si>
    <t>PCOD</t>
  </si>
  <si>
    <t>P039</t>
  </si>
  <si>
    <t>P040</t>
  </si>
  <si>
    <t>P041</t>
  </si>
  <si>
    <t>P042</t>
  </si>
  <si>
    <t>Fracture</t>
  </si>
  <si>
    <t>P043</t>
  </si>
  <si>
    <t>P044</t>
  </si>
  <si>
    <t>P045</t>
  </si>
  <si>
    <t>P046</t>
  </si>
  <si>
    <t>P047</t>
  </si>
  <si>
    <t>P048</t>
  </si>
  <si>
    <t>P049</t>
  </si>
  <si>
    <t>P050</t>
  </si>
  <si>
    <t>P051</t>
  </si>
  <si>
    <t>P052</t>
  </si>
  <si>
    <t>P053</t>
  </si>
  <si>
    <t>Fever</t>
  </si>
  <si>
    <t>P054</t>
  </si>
  <si>
    <t>P055</t>
  </si>
  <si>
    <t>P056</t>
  </si>
  <si>
    <t>P057</t>
  </si>
  <si>
    <t>P058</t>
  </si>
  <si>
    <t>P059</t>
  </si>
  <si>
    <t>P060</t>
  </si>
  <si>
    <t>P061</t>
  </si>
  <si>
    <t>P062</t>
  </si>
  <si>
    <t>P063</t>
  </si>
  <si>
    <t>P064</t>
  </si>
  <si>
    <t>Meera Singh</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</si>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</sst>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mbria"/>
      <family val="2"/>
      <scheme val="minor"/>
    </font>
    <font>
      <sz val="11"/>
      <color theme="1"/>
      <name val="Cambria"/>
      <family val="2"/>
      <scheme val="minor"/>
    </font>
    <font>
      <sz val="18"/>
      <color theme="3"/>
      <name val="Calibri"/>
      <family val="2"/>
      <scheme val="major"/>
    </font>
    <font>
      <b/>
      <sz val="15"/>
      <color theme="3"/>
      <name val="Cambria"/>
      <family val="2"/>
      <scheme val="minor"/>
    </font>
    <font>
      <b/>
      <sz val="13"/>
      <color theme="3"/>
      <name val="Cambria"/>
      <family val="2"/>
      <scheme val="minor"/>
    </font>
    <font>
      <b/>
      <sz val="11"/>
      <color theme="3"/>
      <name val="Cambria"/>
      <family val="2"/>
      <scheme val="minor"/>
    </font>
    <font>
      <sz val="11"/>
      <color rgb="FF006100"/>
      <name val="Cambria"/>
      <family val="2"/>
      <scheme val="minor"/>
    </font>
    <font>
      <sz val="11"/>
      <color rgb="FF9C0006"/>
      <name val="Cambria"/>
      <family val="2"/>
      <scheme val="minor"/>
    </font>
    <font>
      <sz val="11"/>
      <color rgb="FF9C5700"/>
      <name val="Cambria"/>
      <family val="2"/>
      <scheme val="minor"/>
    </font>
    <font>
      <sz val="11"/>
      <color rgb="FF3F3F76"/>
      <name val="Cambria"/>
      <family val="2"/>
      <scheme val="minor"/>
    </font>
    <font>
      <b/>
      <sz val="11"/>
      <color rgb="FF3F3F3F"/>
      <name val="Cambria"/>
      <family val="2"/>
      <scheme val="minor"/>
    </font>
    <font>
      <b/>
      <sz val="11"/>
      <color rgb="FFFA7D00"/>
      <name val="Cambria"/>
      <family val="2"/>
      <scheme val="minor"/>
    </font>
    <font>
      <sz val="11"/>
      <color rgb="FFFA7D00"/>
      <name val="Cambria"/>
      <family val="2"/>
      <scheme val="minor"/>
    </font>
    <font>
      <b/>
      <sz val="11"/>
      <color theme="0"/>
      <name val="Cambria"/>
      <family val="2"/>
      <scheme val="minor"/>
    </font>
    <font>
      <sz val="11"/>
      <color rgb="FFFF0000"/>
      <name val="Cambria"/>
      <family val="2"/>
      <scheme val="minor"/>
    </font>
    <font>
      <i/>
      <sz val="11"/>
      <color rgb="FF7F7F7F"/>
      <name val="Cambria"/>
      <family val="2"/>
      <scheme val="minor"/>
    </font>
    <font>
      <b/>
      <sz val="11"/>
      <color theme="1"/>
      <name val="Cambria"/>
      <family val="2"/>
      <scheme val="minor"/>
    </font>
    <font>
      <sz val="11"/>
      <color theme="0"/>
      <name val="Cambria"/>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1" defaultTableStyle="TableStyleMedium2" defaultPivotStyle="PivotStyleLight16">
    <tableStyle name="black" pivot="0" table="0" count="0" xr9:uid="{CCD997BF-47B1-41EF-A180-2CCEBFF91447}"/>
  </tableStyles>
  <extLst>
    <ext xmlns:x14="http://schemas.microsoft.com/office/spreadsheetml/2009/9/main" uri="{EB79DEF2-80B8-43e5-95BD-54CBDDF9020C}">
      <x14:slicerStyles defaultSlicerStyle="SlicerStyleLight1">
        <x14:slicerStyle name="black"/>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TREATMENT COST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w="9525">
              <a:solidFill>
                <a:schemeClr val="accent6"/>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6"/>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w="9525">
                <a:solidFill>
                  <a:schemeClr val="accent6"/>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6"/>
                </a:solidFill>
              </a:ln>
              <a:effectLst/>
            </c:spPr>
            <c:trendlineType val="linear"/>
            <c:dispRSqr val="0"/>
            <c:dispEq val="0"/>
          </c:trendline>
          <c:cat>
            <c:strLit>
              <c:ptCount val="6"/>
              <c:pt idx="0">
                <c:v>Cardiology</c:v>
              </c:pt>
              <c:pt idx="1">
                <c:v>General</c:v>
              </c:pt>
              <c:pt idx="2">
                <c:v>Gynecology</c:v>
              </c:pt>
              <c:pt idx="3">
                <c:v>Neurology</c:v>
              </c:pt>
              <c:pt idx="4">
                <c:v>Oncology</c:v>
              </c:pt>
              <c:pt idx="5">
                <c:v>Orthopedics</c:v>
              </c:pt>
            </c:strLit>
          </c:cat>
          <c:val>
            <c:numLit>
              <c:formatCode>General</c:formatCode>
              <c:ptCount val="6"/>
              <c:pt idx="0">
                <c:v>2395221</c:v>
              </c:pt>
              <c:pt idx="1">
                <c:v>2155064</c:v>
              </c:pt>
              <c:pt idx="2">
                <c:v>1699103</c:v>
              </c:pt>
              <c:pt idx="3">
                <c:v>1392628</c:v>
              </c:pt>
              <c:pt idx="4">
                <c:v>1638753</c:v>
              </c:pt>
              <c:pt idx="5">
                <c:v>1597288</c:v>
              </c:pt>
            </c:numLit>
          </c:val>
          <c:smooth val="0"/>
          <c:extLst>
            <c:ext xmlns:c16="http://schemas.microsoft.com/office/drawing/2014/chart" uri="{C3380CC4-5D6E-409C-BE32-E72D297353CC}">
              <c16:uniqueId val="{00000000-5F91-491A-A472-4F35984D2D2B}"/>
            </c:ext>
          </c:extLst>
        </c:ser>
        <c:dLbls>
          <c:dLblPos val="t"/>
          <c:showLegendKey val="0"/>
          <c:showVal val="1"/>
          <c:showCatName val="0"/>
          <c:showSerName val="0"/>
          <c:showPercent val="0"/>
          <c:showBubbleSize val="0"/>
        </c:dLbls>
        <c:marker val="1"/>
        <c:smooth val="0"/>
        <c:axId val="509149312"/>
        <c:axId val="509150296"/>
      </c:lineChart>
      <c:catAx>
        <c:axId val="5091493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150296"/>
        <c:crosses val="autoZero"/>
        <c:auto val="1"/>
        <c:lblAlgn val="ctr"/>
        <c:lblOffset val="100"/>
        <c:noMultiLvlLbl val="0"/>
      </c:catAx>
      <c:valAx>
        <c:axId val="509150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14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Patients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57150" dist="19050" dir="5400000" algn="ctr" rotWithShape="0">
              <a:srgbClr val="000000">
                <a:alpha val="63000"/>
              </a:srgbClr>
            </a:outerShdw>
          </a:effectLst>
          <a:scene3d>
            <a:camera prst="orthographicFront" fov="0">
              <a:rot lat="0" lon="0" rev="0"/>
            </a:camera>
            <a:lightRig rig="contrasting" dir="t">
              <a:rot lat="0" lon="0" rev="1500000"/>
            </a:lightRig>
          </a:scene3d>
          <a:sp3d extrusionH="127000" prstMaterial="powder">
            <a:bevelT w="50800" h="63500"/>
          </a:sp3d>
        </c:spPr>
        <c:marker>
          <c:symbol val="diamond"/>
          <c:size val="5"/>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w="9525">
              <a:solidFill>
                <a:schemeClr val="accent6"/>
              </a:solidFill>
              <a:round/>
            </a:ln>
            <a:effectLst>
              <a:outerShdw blurRad="57150" dist="19050" dir="5400000" algn="ctr" rotWithShape="0">
                <a:srgbClr val="000000">
                  <a:alpha val="63000"/>
                </a:s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57150" dist="19050" dir="5400000" algn="ctr" rotWithShape="0">
              <a:srgbClr val="000000">
                <a:alpha val="63000"/>
              </a:srgbClr>
            </a:outerShdw>
          </a:effectLst>
          <a:scene3d>
            <a:camera prst="orthographicFront" fov="0">
              <a:rot lat="0" lon="0" rev="0"/>
            </a:camera>
            <a:lightRig rig="contrasting" dir="t">
              <a:rot lat="0" lon="0" rev="1500000"/>
            </a:lightRig>
          </a:scene3d>
          <a:sp3d extrusionH="127000" prstMaterial="powder">
            <a:bevelT w="508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Cardiology</c:v>
              </c:pt>
              <c:pt idx="1">
                <c:v>General</c:v>
              </c:pt>
              <c:pt idx="2">
                <c:v>Gynecology</c:v>
              </c:pt>
              <c:pt idx="3">
                <c:v>Neurology</c:v>
              </c:pt>
              <c:pt idx="4">
                <c:v>Oncology</c:v>
              </c:pt>
              <c:pt idx="5">
                <c:v>Orthopedics</c:v>
              </c:pt>
            </c:strLit>
          </c:cat>
          <c:val>
            <c:numLit>
              <c:formatCode>General</c:formatCode>
              <c:ptCount val="6"/>
              <c:pt idx="0">
                <c:v>32</c:v>
              </c:pt>
              <c:pt idx="1">
                <c:v>34</c:v>
              </c:pt>
              <c:pt idx="2">
                <c:v>28</c:v>
              </c:pt>
              <c:pt idx="3">
                <c:v>25</c:v>
              </c:pt>
              <c:pt idx="4">
                <c:v>31</c:v>
              </c:pt>
              <c:pt idx="5">
                <c:v>32</c:v>
              </c:pt>
            </c:numLit>
          </c:val>
          <c:extLst>
            <c:ext xmlns:c16="http://schemas.microsoft.com/office/drawing/2014/chart" uri="{C3380CC4-5D6E-409C-BE32-E72D297353CC}">
              <c16:uniqueId val="{00000000-76DA-4EF3-B013-5AD848F5883E}"/>
            </c:ext>
          </c:extLst>
        </c:ser>
        <c:dLbls>
          <c:dLblPos val="inEnd"/>
          <c:showLegendKey val="0"/>
          <c:showVal val="1"/>
          <c:showCatName val="0"/>
          <c:showSerName val="0"/>
          <c:showPercent val="0"/>
          <c:showBubbleSize val="0"/>
        </c:dLbls>
        <c:gapWidth val="115"/>
        <c:overlap val="-20"/>
        <c:axId val="646150152"/>
        <c:axId val="646150808"/>
      </c:barChart>
      <c:catAx>
        <c:axId val="6461501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150808"/>
        <c:crosses val="autoZero"/>
        <c:auto val="1"/>
        <c:lblAlgn val="ctr"/>
        <c:lblOffset val="100"/>
        <c:noMultiLvlLbl val="0"/>
      </c:catAx>
      <c:valAx>
        <c:axId val="6461508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150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p>
        </c:rich>
      </c:tx>
      <c:layout>
        <c:manualLayout>
          <c:xMode val="edge"/>
          <c:yMode val="edge"/>
          <c:x val="0.38006933508311463"/>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57150" dist="19050" dir="5400000" algn="ctr" rotWithShape="0">
              <a:srgbClr val="000000">
                <a:alpha val="63000"/>
              </a:srgbClr>
            </a:outerShdw>
          </a:effectLst>
          <a:scene3d>
            <a:camera prst="orthographicFront" fov="0">
              <a:rot lat="0" lon="0" rev="0"/>
            </a:camera>
            <a:lightRig rig="contrasting" dir="t">
              <a:rot lat="0" lon="0" rev="1500000"/>
            </a:lightRig>
          </a:scene3d>
          <a:sp3d extrusionH="127000" prstMaterial="powder">
            <a:bevelT w="50800" h="635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57150" dist="19050" dir="5400000" algn="ctr" rotWithShape="0">
              <a:srgbClr val="000000">
                <a:alpha val="63000"/>
              </a:srgbClr>
            </a:outerShdw>
          </a:effectLst>
          <a:scene3d>
            <a:camera prst="orthographicFront" fov="0">
              <a:rot lat="0" lon="0" rev="0"/>
            </a:camera>
            <a:lightRig rig="contrasting" dir="t">
              <a:rot lat="0" lon="0" rev="1500000"/>
            </a:lightRig>
          </a:scene3d>
          <a:sp3d extrusionH="127000" prstMaterial="powder">
            <a:bevelT w="508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57150" dist="19050" dir="5400000" algn="ctr" rotWithShape="0">
              <a:srgbClr val="000000">
                <a:alpha val="63000"/>
              </a:srgbClr>
            </a:outerShdw>
          </a:effectLst>
          <a:scene3d>
            <a:camera prst="orthographicFront" fov="0">
              <a:rot lat="0" lon="0" rev="0"/>
            </a:camera>
            <a:lightRig rig="contrasting" dir="t">
              <a:rot lat="0" lon="0" rev="1500000"/>
            </a:lightRig>
          </a:scene3d>
          <a:sp3d extrusionH="127000" prstMaterial="powder">
            <a:bevelT w="50800" h="63500"/>
          </a:sp3d>
        </c:spPr>
      </c:pivotFmt>
      <c:pivotFmt>
        <c:idx val="3"/>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57150" dist="19050" dir="5400000" algn="ctr" rotWithShape="0">
              <a:srgbClr val="000000">
                <a:alpha val="63000"/>
              </a:srgbClr>
            </a:outerShdw>
          </a:effectLst>
          <a:scene3d>
            <a:camera prst="orthographicFront" fov="0">
              <a:rot lat="0" lon="0" rev="0"/>
            </a:camera>
            <a:lightRig rig="contrasting" dir="t">
              <a:rot lat="0" lon="0" rev="1500000"/>
            </a:lightRig>
          </a:scene3d>
          <a:sp3d extrusionH="127000" prstMaterial="powder">
            <a:bevelT w="50800" h="63500"/>
          </a:sp3d>
        </c:spPr>
      </c:pivotFmt>
      <c:pivotFmt>
        <c:idx val="4"/>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pivotFmt>
      <c:pivotFmt>
        <c:idx val="6"/>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pivotFmt>
    </c:pivotFmts>
    <c:plotArea>
      <c:layout/>
      <c:doughnutChart>
        <c:varyColors val="1"/>
        <c:ser>
          <c:idx val="0"/>
          <c:order val="0"/>
          <c:tx>
            <c:v>Total</c:v>
          </c:tx>
          <c:dPt>
            <c:idx val="0"/>
            <c:bubble3D val="0"/>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1-7C39-4A14-8A4B-DFAE4577BF79}"/>
              </c:ext>
            </c:extLst>
          </c:dPt>
          <c:dPt>
            <c:idx val="1"/>
            <c:bubble3D val="0"/>
            <c:spPr>
              <a:gradFill rotWithShape="1">
                <a:gsLst>
                  <a:gs pos="0">
                    <a:schemeClr val="accent5">
                      <a:tint val="74000"/>
                    </a:schemeClr>
                  </a:gs>
                  <a:gs pos="49000">
                    <a:schemeClr val="accent5">
                      <a:tint val="96000"/>
                      <a:shade val="84000"/>
                      <a:satMod val="110000"/>
                    </a:schemeClr>
                  </a:gs>
                  <a:gs pos="49100">
                    <a:schemeClr val="accent5">
                      <a:shade val="55000"/>
                      <a:satMod val="150000"/>
                    </a:schemeClr>
                  </a:gs>
                  <a:gs pos="92000">
                    <a:schemeClr val="accent5">
                      <a:tint val="98000"/>
                      <a:shade val="90000"/>
                      <a:satMod val="128000"/>
                    </a:schemeClr>
                  </a:gs>
                  <a:gs pos="100000">
                    <a:schemeClr val="accent5">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3-7C39-4A14-8A4B-DFAE4577BF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F</c:v>
              </c:pt>
              <c:pt idx="1">
                <c:v>M</c:v>
              </c:pt>
            </c:strLit>
          </c:cat>
          <c:val>
            <c:numLit>
              <c:formatCode>General</c:formatCode>
              <c:ptCount val="2"/>
              <c:pt idx="0">
                <c:v>95</c:v>
              </c:pt>
              <c:pt idx="1">
                <c:v>87</c:v>
              </c:pt>
            </c:numLit>
          </c:val>
          <c:extLst>
            <c:ext xmlns:c16="http://schemas.microsoft.com/office/drawing/2014/chart" uri="{C3380CC4-5D6E-409C-BE32-E72D297353CC}">
              <c16:uniqueId val="{00000004-7C39-4A14-8A4B-DFAE4577BF7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Outcomes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57150" dist="19050" dir="5400000" algn="ctr" rotWithShape="0">
              <a:srgbClr val="000000">
                <a:alpha val="63000"/>
              </a:srgbClr>
            </a:outerShdw>
          </a:effectLst>
          <a:scene3d>
            <a:camera prst="orthographicFront" fov="0">
              <a:rot lat="0" lon="0" rev="0"/>
            </a:camera>
            <a:lightRig rig="contrasting" dir="t">
              <a:rot lat="0" lon="0" rev="1500000"/>
            </a:lightRig>
          </a:scene3d>
          <a:sp3d/>
        </c:spPr>
        <c:marker>
          <c:symbol val="circle"/>
          <c:size val="6"/>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w="9525">
              <a:solidFill>
                <a:schemeClr val="accent6"/>
              </a:solidFill>
              <a:round/>
            </a:ln>
            <a:effectLst>
              <a:outerShdw blurRad="57150" dist="19050" dir="5400000" algn="ctr" rotWithShape="0">
                <a:srgbClr val="000000">
                  <a:alpha val="63000"/>
                </a:s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57150" dist="19050" dir="5400000" algn="ctr" rotWithShape="0">
              <a:srgbClr val="000000">
                <a:alpha val="63000"/>
              </a:srgbClr>
            </a:outerShdw>
          </a:effectLst>
          <a:scene3d>
            <a:camera prst="orthographicFront" fov="0">
              <a:rot lat="0" lon="0" rev="0"/>
            </a:camera>
            <a:lightRig rig="contrasting" dir="t">
              <a:rot lat="0" lon="0" rev="15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v>Total</c:v>
          </c:tx>
          <c:spPr>
            <a:gradFill rotWithShape="1">
              <a:gsLst>
                <a:gs pos="0">
                  <a:schemeClr val="accent6">
                    <a:tint val="74000"/>
                  </a:schemeClr>
                </a:gs>
                <a:gs pos="49000">
                  <a:schemeClr val="accent6">
                    <a:tint val="96000"/>
                    <a:shade val="84000"/>
                    <a:satMod val="110000"/>
                  </a:schemeClr>
                </a:gs>
                <a:gs pos="49100">
                  <a:schemeClr val="accent6">
                    <a:shade val="55000"/>
                    <a:satMod val="150000"/>
                  </a:schemeClr>
                </a:gs>
                <a:gs pos="92000">
                  <a:schemeClr val="accent6">
                    <a:tint val="98000"/>
                    <a:shade val="90000"/>
                    <a:satMod val="128000"/>
                  </a:schemeClr>
                </a:gs>
                <a:gs pos="100000">
                  <a:schemeClr val="accent6">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invertIfNegative val="0"/>
          <c:cat>
            <c:strLit>
              <c:ptCount val="1"/>
              <c:pt idx="0">
                <c:v>Critical</c:v>
              </c:pt>
            </c:strLit>
          </c:cat>
          <c:val>
            <c:numLit>
              <c:formatCode>General</c:formatCode>
              <c:ptCount val="1"/>
              <c:pt idx="0">
                <c:v>182</c:v>
              </c:pt>
            </c:numLit>
          </c:val>
          <c:extLst>
            <c:ext xmlns:c16="http://schemas.microsoft.com/office/drawing/2014/chart" uri="{C3380CC4-5D6E-409C-BE32-E72D297353CC}">
              <c16:uniqueId val="{00000000-86EE-4D5F-8652-18A17C3A00AC}"/>
            </c:ext>
          </c:extLst>
        </c:ser>
        <c:dLbls>
          <c:showLegendKey val="0"/>
          <c:showVal val="0"/>
          <c:showCatName val="0"/>
          <c:showSerName val="0"/>
          <c:showPercent val="0"/>
          <c:showBubbleSize val="0"/>
        </c:dLbls>
        <c:gapWidth val="150"/>
        <c:shape val="box"/>
        <c:axId val="646499160"/>
        <c:axId val="646496864"/>
        <c:axId val="0"/>
      </c:bar3DChart>
      <c:catAx>
        <c:axId val="646499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496864"/>
        <c:crosses val="autoZero"/>
        <c:auto val="1"/>
        <c:lblAlgn val="ctr"/>
        <c:lblOffset val="100"/>
        <c:noMultiLvlLbl val="0"/>
      </c:catAx>
      <c:valAx>
        <c:axId val="64649686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499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548640</xdr:colOff>
      <xdr:row>9</xdr:row>
      <xdr:rowOff>30480</xdr:rowOff>
    </xdr:from>
    <xdr:to>
      <xdr:col>12</xdr:col>
      <xdr:colOff>111760</xdr:colOff>
      <xdr:row>26</xdr:row>
      <xdr:rowOff>132080</xdr:rowOff>
    </xdr:to>
    <xdr:graphicFrame macro="">
      <xdr:nvGraphicFramePr>
        <xdr:cNvPr id="2" name="Chart 1">
          <a:extLst>
            <a:ext uri="{FF2B5EF4-FFF2-40B4-BE49-F238E27FC236}">
              <a16:creationId xmlns:a16="http://schemas.microsoft.com/office/drawing/2014/main" id="{D35E539B-6564-4C35-A736-BB88E7CEC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266241</xdr:colOff>
      <xdr:row>9</xdr:row>
      <xdr:rowOff>48842</xdr:rowOff>
    </xdr:from>
    <xdr:to>
      <xdr:col>20</xdr:col>
      <xdr:colOff>174067</xdr:colOff>
      <xdr:row>26</xdr:row>
      <xdr:rowOff>100988</xdr:rowOff>
    </xdr:to>
    <xdr:graphicFrame macro="">
      <xdr:nvGraphicFramePr>
        <xdr:cNvPr id="3" name="Chart 2">
          <a:extLst>
            <a:ext uri="{FF2B5EF4-FFF2-40B4-BE49-F238E27FC236}">
              <a16:creationId xmlns:a16="http://schemas.microsoft.com/office/drawing/2014/main" id="{90269AB3-8693-4CBF-9612-720107420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132080</xdr:colOff>
      <xdr:row>28</xdr:row>
      <xdr:rowOff>121920</xdr:rowOff>
    </xdr:from>
    <xdr:to>
      <xdr:col>21</xdr:col>
      <xdr:colOff>386080</xdr:colOff>
      <xdr:row>47</xdr:row>
      <xdr:rowOff>91440</xdr:rowOff>
    </xdr:to>
    <xdr:graphicFrame macro="">
      <xdr:nvGraphicFramePr>
        <xdr:cNvPr id="4" name="Chart 3">
          <a:extLst>
            <a:ext uri="{FF2B5EF4-FFF2-40B4-BE49-F238E27FC236}">
              <a16:creationId xmlns:a16="http://schemas.microsoft.com/office/drawing/2014/main" id="{8C8A1D87-26F9-4B75-89DA-270F5E715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104140</xdr:colOff>
      <xdr:row>28</xdr:row>
      <xdr:rowOff>106680</xdr:rowOff>
    </xdr:from>
    <xdr:to>
      <xdr:col>9</xdr:col>
      <xdr:colOff>20320</xdr:colOff>
      <xdr:row>48</xdr:row>
      <xdr:rowOff>0</xdr:rowOff>
    </xdr:to>
    <xdr:graphicFrame macro="">
      <xdr:nvGraphicFramePr>
        <xdr:cNvPr id="5" name="Chart 4">
          <a:extLst>
            <a:ext uri="{FF2B5EF4-FFF2-40B4-BE49-F238E27FC236}">
              <a16:creationId xmlns:a16="http://schemas.microsoft.com/office/drawing/2014/main" id="{5ED36FA1-633D-49EF-A6EF-8360CA48A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121920</xdr:colOff>
      <xdr:row>39</xdr:row>
      <xdr:rowOff>160020</xdr:rowOff>
    </xdr:from>
    <xdr:to>
      <xdr:col>11</xdr:col>
      <xdr:colOff>609600</xdr:colOff>
      <xdr:row>47</xdr:row>
      <xdr:rowOff>121919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956AF273-4BEF-4F53-A81F-94BB725BEF8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88612" y="7018020"/>
              <a:ext cx="1835834" cy="1368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289345</xdr:colOff>
      <xdr:row>9</xdr:row>
      <xdr:rowOff>22279</xdr:rowOff>
    </xdr:from>
    <xdr:to>
      <xdr:col>23</xdr:col>
      <xdr:colOff>106465</xdr:colOff>
      <xdr:row>20</xdr:row>
      <xdr:rowOff>42598</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D67259EF-5DE1-48F2-BDE8-276C98E704E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693200" y="1592183"/>
              <a:ext cx="1827699" cy="1939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280747</xdr:colOff>
      <xdr:row>20</xdr:row>
      <xdr:rowOff>173303</xdr:rowOff>
    </xdr:from>
    <xdr:to>
      <xdr:col>23</xdr:col>
      <xdr:colOff>97867</xdr:colOff>
      <xdr:row>26</xdr:row>
      <xdr:rowOff>89483</xdr:rowOff>
    </xdr:to>
    <mc:AlternateContent xmlns:mc="http://schemas.openxmlformats.org/markup-compatibility/2006" xmlns:a14="http://schemas.microsoft.com/office/drawing/2010/main">
      <mc:Choice Requires="a14">
        <xdr:graphicFrame macro="">
          <xdr:nvGraphicFramePr>
            <xdr:cNvPr id="8" name="Insurance">
              <a:extLst>
                <a:ext uri="{FF2B5EF4-FFF2-40B4-BE49-F238E27FC236}">
                  <a16:creationId xmlns:a16="http://schemas.microsoft.com/office/drawing/2014/main" id="{7B65CF1C-B4C8-4430-9B58-BED44009E39F}"/>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mlns="">
        <xdr:sp macro="" textlink="">
          <xdr:nvSpPr>
            <xdr:cNvPr id="0" name=""/>
            <xdr:cNvSpPr>
              <a:spLocks noTextEdit="1"/>
            </xdr:cNvSpPr>
          </xdr:nvSpPr>
          <xdr:spPr>
            <a:xfrm>
              <a:off x="13684602" y="3661978"/>
              <a:ext cx="1827699" cy="962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180340</xdr:colOff>
      <xdr:row>28</xdr:row>
      <xdr:rowOff>142240</xdr:rowOff>
    </xdr:from>
    <xdr:to>
      <xdr:col>11</xdr:col>
      <xdr:colOff>668020</xdr:colOff>
      <xdr:row>38</xdr:row>
      <xdr:rowOff>142239</xdr:rowOff>
    </xdr:to>
    <mc:AlternateContent xmlns:mc="http://schemas.openxmlformats.org/markup-compatibility/2006" xmlns:a14="http://schemas.microsoft.com/office/drawing/2010/main">
      <mc:Choice Requires="a14">
        <xdr:graphicFrame macro="">
          <xdr:nvGraphicFramePr>
            <xdr:cNvPr id="9" name="Outcome">
              <a:extLst>
                <a:ext uri="{FF2B5EF4-FFF2-40B4-BE49-F238E27FC236}">
                  <a16:creationId xmlns:a16="http://schemas.microsoft.com/office/drawing/2014/main" id="{75602D4F-8EA3-4C50-A29B-B8252889DEEE}"/>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6247032" y="5065932"/>
              <a:ext cx="1835834" cy="1758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20320</xdr:rowOff>
    </xdr:from>
    <xdr:to>
      <xdr:col>3</xdr:col>
      <xdr:colOff>335280</xdr:colOff>
      <xdr:row>23</xdr:row>
      <xdr:rowOff>132080</xdr:rowOff>
    </xdr:to>
    <xdr:sp macro="" textlink="'KPI DATA'!A1">
      <xdr:nvSpPr>
        <xdr:cNvPr id="13" name="Rectangle: Rounded Corners 12">
          <a:extLst>
            <a:ext uri="{FF2B5EF4-FFF2-40B4-BE49-F238E27FC236}">
              <a16:creationId xmlns:a16="http://schemas.microsoft.com/office/drawing/2014/main" id="{BB2777B9-236F-4916-84AC-2560FD212648}"/>
            </a:ext>
          </a:extLst>
        </xdr:cNvPr>
        <xdr:cNvSpPr/>
      </xdr:nvSpPr>
      <xdr:spPr>
        <a:xfrm>
          <a:off x="0" y="1574800"/>
          <a:ext cx="2346960" cy="2529840"/>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bg1"/>
              </a:solidFill>
              <a:latin typeface="Cambria"/>
              <a:ea typeface="Cambria"/>
            </a:rPr>
            <a:t>TOTAL PATIENTS   </a:t>
          </a:r>
          <a:fld id="{0949EC99-0BF3-432A-814D-9EDB53A1B4A3}" type="TxLink">
            <a:rPr lang="en-US" sz="1100" b="0" i="0" u="none" strike="noStrike">
              <a:solidFill>
                <a:schemeClr val="bg1"/>
              </a:solidFill>
              <a:latin typeface="Cambria"/>
              <a:ea typeface="Cambria"/>
            </a:rPr>
            <a:pPr algn="l"/>
            <a:t>500</a:t>
          </a:fld>
          <a:endParaRPr lang="en-US" sz="1100">
            <a:solidFill>
              <a:schemeClr val="bg1"/>
            </a:solidFill>
          </a:endParaRPr>
        </a:p>
      </xdr:txBody>
    </xdr:sp>
    <xdr:clientData/>
  </xdr:twoCellAnchor>
  <xdr:twoCellAnchor>
    <xdr:from>
      <xdr:col>0</xdr:col>
      <xdr:colOff>111760</xdr:colOff>
      <xdr:row>11</xdr:row>
      <xdr:rowOff>121920</xdr:rowOff>
    </xdr:from>
    <xdr:to>
      <xdr:col>3</xdr:col>
      <xdr:colOff>172720</xdr:colOff>
      <xdr:row>13</xdr:row>
      <xdr:rowOff>121920</xdr:rowOff>
    </xdr:to>
    <xdr:sp macro="" textlink="'KPI DATA'!A2">
      <xdr:nvSpPr>
        <xdr:cNvPr id="15" name="Rectangle: Rounded Corners 14">
          <a:extLst>
            <a:ext uri="{FF2B5EF4-FFF2-40B4-BE49-F238E27FC236}">
              <a16:creationId xmlns:a16="http://schemas.microsoft.com/office/drawing/2014/main" id="{F8ED84C1-20FC-4CC3-BBD8-B0728A2FE0E5}"/>
            </a:ext>
          </a:extLst>
        </xdr:cNvPr>
        <xdr:cNvSpPr/>
      </xdr:nvSpPr>
      <xdr:spPr>
        <a:xfrm>
          <a:off x="111760" y="2021840"/>
          <a:ext cx="2072640" cy="345440"/>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bg1"/>
              </a:solidFill>
              <a:latin typeface="Cambria"/>
              <a:ea typeface="Cambria"/>
            </a:rPr>
            <a:t>AVERAGE</a:t>
          </a:r>
          <a:r>
            <a:rPr lang="en-US" sz="1100" b="0" i="0" u="none" strike="noStrike" baseline="0">
              <a:solidFill>
                <a:schemeClr val="bg1"/>
              </a:solidFill>
              <a:latin typeface="Cambria"/>
              <a:ea typeface="Cambria"/>
            </a:rPr>
            <a:t>  AGE    </a:t>
          </a:r>
          <a:fld id="{3741D767-70C3-42FD-ABC1-B985E66E2F0B}" type="TxLink">
            <a:rPr lang="en-US" sz="1100" b="0" i="0" u="none" strike="noStrike">
              <a:solidFill>
                <a:schemeClr val="bg1"/>
              </a:solidFill>
              <a:latin typeface="Cambria"/>
              <a:ea typeface="Cambria"/>
            </a:rPr>
            <a:pPr algn="l"/>
            <a:t>48.826</a:t>
          </a:fld>
          <a:endParaRPr lang="en-US" sz="1100" b="0" i="0" u="none" strike="noStrike">
            <a:solidFill>
              <a:schemeClr val="bg1"/>
            </a:solidFill>
            <a:latin typeface="Cambria"/>
            <a:ea typeface="Cambria"/>
          </a:endParaRPr>
        </a:p>
        <a:p>
          <a:pPr algn="l"/>
          <a:endParaRPr lang="en-US" sz="1100" b="0" i="0" u="none" strike="noStrike">
            <a:solidFill>
              <a:schemeClr val="bg1"/>
            </a:solidFill>
            <a:latin typeface="+mn-lt"/>
            <a:ea typeface="+mn-ea"/>
          </a:endParaRPr>
        </a:p>
      </xdr:txBody>
    </xdr:sp>
    <xdr:clientData/>
  </xdr:twoCellAnchor>
  <xdr:twoCellAnchor>
    <xdr:from>
      <xdr:col>0</xdr:col>
      <xdr:colOff>60960</xdr:colOff>
      <xdr:row>14</xdr:row>
      <xdr:rowOff>60960</xdr:rowOff>
    </xdr:from>
    <xdr:to>
      <xdr:col>3</xdr:col>
      <xdr:colOff>203200</xdr:colOff>
      <xdr:row>16</xdr:row>
      <xdr:rowOff>81280</xdr:rowOff>
    </xdr:to>
    <xdr:sp macro="" textlink="'KPI DATA'!A3">
      <xdr:nvSpPr>
        <xdr:cNvPr id="16" name="Rectangle: Rounded Corners 15">
          <a:extLst>
            <a:ext uri="{FF2B5EF4-FFF2-40B4-BE49-F238E27FC236}">
              <a16:creationId xmlns:a16="http://schemas.microsoft.com/office/drawing/2014/main" id="{B2E22B47-B331-4E40-A591-732683578A8A}"/>
            </a:ext>
          </a:extLst>
        </xdr:cNvPr>
        <xdr:cNvSpPr/>
      </xdr:nvSpPr>
      <xdr:spPr>
        <a:xfrm>
          <a:off x="60960" y="2479040"/>
          <a:ext cx="2153920" cy="36576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bg1"/>
              </a:solidFill>
              <a:latin typeface="Cambria"/>
              <a:ea typeface="Cambria"/>
            </a:rPr>
            <a:t>TREATMENT</a:t>
          </a:r>
          <a:r>
            <a:rPr lang="en-US" sz="1100" b="0" i="0" u="none" strike="noStrike" baseline="0">
              <a:solidFill>
                <a:schemeClr val="bg1"/>
              </a:solidFill>
              <a:latin typeface="Cambria"/>
              <a:ea typeface="Cambria"/>
            </a:rPr>
            <a:t> </a:t>
          </a:r>
          <a:r>
            <a:rPr lang="en-US" sz="1100" b="0" i="0" u="none" strike="noStrike">
              <a:solidFill>
                <a:schemeClr val="bg1"/>
              </a:solidFill>
              <a:latin typeface="Cambria"/>
              <a:ea typeface="Cambria"/>
            </a:rPr>
            <a:t>COST  </a:t>
          </a:r>
          <a:fld id="{2EF820FF-DED6-4AF9-A7BD-3B3435EED5A1}" type="TxLink">
            <a:rPr lang="en-US" sz="1100" b="0" i="0" u="none" strike="noStrike">
              <a:solidFill>
                <a:schemeClr val="bg1"/>
              </a:solidFill>
              <a:latin typeface="Cambria"/>
              <a:ea typeface="Cambria"/>
            </a:rPr>
            <a:pPr algn="l"/>
            <a:t>30906038</a:t>
          </a:fld>
          <a:endParaRPr lang="en-US" sz="1100">
            <a:solidFill>
              <a:schemeClr val="bg1"/>
            </a:solidFill>
          </a:endParaRPr>
        </a:p>
      </xdr:txBody>
    </xdr:sp>
    <xdr:clientData/>
  </xdr:twoCellAnchor>
  <xdr:twoCellAnchor>
    <xdr:from>
      <xdr:col>0</xdr:col>
      <xdr:colOff>50800</xdr:colOff>
      <xdr:row>17</xdr:row>
      <xdr:rowOff>50800</xdr:rowOff>
    </xdr:from>
    <xdr:to>
      <xdr:col>3</xdr:col>
      <xdr:colOff>203200</xdr:colOff>
      <xdr:row>19</xdr:row>
      <xdr:rowOff>101600</xdr:rowOff>
    </xdr:to>
    <xdr:sp macro="" textlink="'KPI DATA'!A5">
      <xdr:nvSpPr>
        <xdr:cNvPr id="17" name="Rectangle: Rounded Corners 16">
          <a:extLst>
            <a:ext uri="{FF2B5EF4-FFF2-40B4-BE49-F238E27FC236}">
              <a16:creationId xmlns:a16="http://schemas.microsoft.com/office/drawing/2014/main" id="{17AECF1C-717A-419C-A504-5F99D9BB9628}"/>
            </a:ext>
          </a:extLst>
        </xdr:cNvPr>
        <xdr:cNvSpPr/>
      </xdr:nvSpPr>
      <xdr:spPr>
        <a:xfrm>
          <a:off x="50800" y="2987040"/>
          <a:ext cx="2164080" cy="396240"/>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bg1"/>
              </a:solidFill>
              <a:latin typeface="Cambria"/>
              <a:ea typeface="Cambria"/>
            </a:rPr>
            <a:t>FEMALE PATIENTS   </a:t>
          </a:r>
          <a:fld id="{FCBCF25B-43A1-4A06-B20D-15CB1C94EC1B}" type="TxLink">
            <a:rPr lang="en-US" sz="1100" b="0" i="0" u="none" strike="noStrike">
              <a:solidFill>
                <a:schemeClr val="bg1"/>
              </a:solidFill>
              <a:latin typeface="Cambria"/>
              <a:ea typeface="Cambria"/>
            </a:rPr>
            <a:pPr algn="l"/>
            <a:t>266</a:t>
          </a:fld>
          <a:endParaRPr lang="en-US" sz="1100">
            <a:solidFill>
              <a:schemeClr val="bg1"/>
            </a:solidFill>
          </a:endParaRPr>
        </a:p>
      </xdr:txBody>
    </xdr:sp>
    <xdr:clientData/>
  </xdr:twoCellAnchor>
  <xdr:twoCellAnchor>
    <xdr:from>
      <xdr:col>0</xdr:col>
      <xdr:colOff>91440</xdr:colOff>
      <xdr:row>20</xdr:row>
      <xdr:rowOff>20320</xdr:rowOff>
    </xdr:from>
    <xdr:to>
      <xdr:col>3</xdr:col>
      <xdr:colOff>223520</xdr:colOff>
      <xdr:row>22</xdr:row>
      <xdr:rowOff>71120</xdr:rowOff>
    </xdr:to>
    <xdr:sp macro="" textlink="'KPI DATA'!A4">
      <xdr:nvSpPr>
        <xdr:cNvPr id="18" name="Rectangle: Rounded Corners 17">
          <a:extLst>
            <a:ext uri="{FF2B5EF4-FFF2-40B4-BE49-F238E27FC236}">
              <a16:creationId xmlns:a16="http://schemas.microsoft.com/office/drawing/2014/main" id="{C61AFAE3-8ABD-4CD0-AB9C-4BF5CB52E444}"/>
            </a:ext>
          </a:extLst>
        </xdr:cNvPr>
        <xdr:cNvSpPr/>
      </xdr:nvSpPr>
      <xdr:spPr>
        <a:xfrm>
          <a:off x="91440" y="3474720"/>
          <a:ext cx="2143760" cy="39624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bg1"/>
              </a:solidFill>
              <a:latin typeface="Cambria"/>
              <a:ea typeface="Cambria"/>
            </a:rPr>
            <a:t>MALE  PATIENTS   </a:t>
          </a:r>
          <a:fld id="{AC24FE25-0D85-41F7-9D3A-703682EE2107}" type="TxLink">
            <a:rPr lang="en-US" sz="1100" b="0" i="0" u="none" strike="noStrike">
              <a:solidFill>
                <a:schemeClr val="bg1"/>
              </a:solidFill>
              <a:latin typeface="Cambria"/>
              <a:ea typeface="Cambria"/>
            </a:rPr>
            <a:pPr algn="l"/>
            <a:t>233</a:t>
          </a:fld>
          <a:endParaRPr lang="en-US" sz="1100">
            <a:solidFill>
              <a:schemeClr val="bg1"/>
            </a:solidFill>
          </a:endParaRPr>
        </a:p>
      </xdr:txBody>
    </xdr:sp>
    <xdr:clientData/>
  </xdr:twoCellAnchor>
  <xdr:oneCellAnchor>
    <xdr:from>
      <xdr:col>5</xdr:col>
      <xdr:colOff>264160</xdr:colOff>
      <xdr:row>1</xdr:row>
      <xdr:rowOff>71120</xdr:rowOff>
    </xdr:from>
    <xdr:ext cx="8747760" cy="769308"/>
    <xdr:sp macro="" textlink="">
      <xdr:nvSpPr>
        <xdr:cNvPr id="19" name="TextBox 18">
          <a:extLst>
            <a:ext uri="{FF2B5EF4-FFF2-40B4-BE49-F238E27FC236}">
              <a16:creationId xmlns:a16="http://schemas.microsoft.com/office/drawing/2014/main" id="{CFFCA1CA-77AA-4AFE-9606-574464CCE04F}"/>
            </a:ext>
          </a:extLst>
        </xdr:cNvPr>
        <xdr:cNvSpPr txBox="1"/>
      </xdr:nvSpPr>
      <xdr:spPr>
        <a:xfrm>
          <a:off x="3616960" y="243840"/>
          <a:ext cx="8747760" cy="769308"/>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u="dbl">
              <a:solidFill>
                <a:srgbClr val="FF0000"/>
              </a:solidFill>
              <a:effectLst/>
              <a:latin typeface="Agency FB" panose="020B0503020202020204" pitchFamily="34" charset="0"/>
              <a:ea typeface="+mn-ea"/>
              <a:cs typeface="+mn-cs"/>
            </a:rPr>
            <a:t>Healthcare</a:t>
          </a:r>
          <a:r>
            <a:rPr lang="en-US" sz="3200" b="1">
              <a:solidFill>
                <a:srgbClr val="FF0000"/>
              </a:solidFill>
              <a:effectLst/>
              <a:latin typeface="Agency FB" panose="020B0503020202020204" pitchFamily="34" charset="0"/>
              <a:ea typeface="+mn-ea"/>
              <a:cs typeface="+mn-cs"/>
            </a:rPr>
            <a:t> </a:t>
          </a:r>
          <a:r>
            <a:rPr lang="en-US" sz="3200" b="1" u="dbl">
              <a:solidFill>
                <a:srgbClr val="FF0000"/>
              </a:solidFill>
              <a:effectLst/>
              <a:latin typeface="Agency FB" panose="020B0503020202020204" pitchFamily="34" charset="0"/>
              <a:ea typeface="+mn-ea"/>
              <a:cs typeface="+mn-cs"/>
            </a:rPr>
            <a:t>Analytics</a:t>
          </a:r>
          <a:r>
            <a:rPr lang="en-US" sz="3200" b="1">
              <a:solidFill>
                <a:srgbClr val="FF0000"/>
              </a:solidFill>
              <a:effectLst/>
              <a:latin typeface="Agency FB" panose="020B0503020202020204" pitchFamily="34" charset="0"/>
              <a:ea typeface="+mn-ea"/>
              <a:cs typeface="+mn-cs"/>
            </a:rPr>
            <a:t> </a:t>
          </a:r>
          <a:r>
            <a:rPr lang="en-US" sz="3200" b="1" u="dbl">
              <a:solidFill>
                <a:srgbClr val="FF0000"/>
              </a:solidFill>
              <a:effectLst/>
              <a:latin typeface="Agency FB" panose="020B0503020202020204" pitchFamily="34" charset="0"/>
              <a:ea typeface="+mn-ea"/>
              <a:cs typeface="+mn-cs"/>
            </a:rPr>
            <a:t>Dashboard</a:t>
          </a:r>
          <a:endParaRPr lang="en-US" sz="3200" b="1" u="dbl">
            <a:solidFill>
              <a:srgbClr val="FF0000"/>
            </a:solidFill>
            <a:effectLst/>
            <a:latin typeface="Agency FB" panose="020B0503020202020204" pitchFamily="34" charset="0"/>
          </a:endParaRPr>
        </a:p>
        <a:p>
          <a:endParaRPr lang="en-US" sz="11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5987.432614467594" createdVersion="7" refreshedVersion="7" minRefreshableVersion="3" recordCount="500" xr:uid="{00000000-000A-0000-FFFF-FFFF09000000}">
  <cacheSource type="worksheet">
    <worksheetSource name="Table1"/>
  </cacheSource>
  <cacheFields count="12">
    <cacheField name="PatientID" numFmtId="0">
      <sharedItems count="5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 v="P301"/>
        <s v="P302"/>
        <s v="P303"/>
        <s v="P304"/>
        <s v="P305"/>
        <s v="P306"/>
        <s v="P307"/>
        <s v="P308"/>
        <s v="P309"/>
        <s v="P310"/>
        <s v="P311"/>
        <s v="P312"/>
        <s v="P313"/>
        <s v="P314"/>
        <s v="P315"/>
        <s v="P316"/>
        <s v="P317"/>
        <s v="P318"/>
        <s v="P319"/>
        <s v="P320"/>
        <s v="P321"/>
        <s v="P322"/>
        <s v="P323"/>
        <s v="P324"/>
        <s v="P325"/>
        <s v="P326"/>
        <s v="P327"/>
        <s v="P328"/>
        <s v="P329"/>
        <s v="P330"/>
        <s v="P331"/>
        <s v="P332"/>
        <s v="P333"/>
        <s v="P334"/>
        <s v="P335"/>
        <s v="P336"/>
        <s v="P337"/>
        <s v="P338"/>
        <s v="P339"/>
        <s v="P340"/>
        <s v="P341"/>
        <s v="P342"/>
        <s v="P343"/>
        <s v="P344"/>
        <s v="P345"/>
        <s v="P346"/>
        <s v="P347"/>
        <s v="P348"/>
        <s v="P349"/>
        <s v="P350"/>
        <s v="P351"/>
        <s v="P352"/>
        <s v="P353"/>
        <s v="P354"/>
        <s v="P355"/>
        <s v="P356"/>
        <s v="P357"/>
        <s v="P358"/>
        <s v="P359"/>
        <s v="P360"/>
        <s v="P361"/>
        <s v="P362"/>
        <s v="P363"/>
        <s v="P364"/>
        <s v="P365"/>
        <s v="P366"/>
        <s v="P367"/>
        <s v="P368"/>
        <s v="P369"/>
        <s v="P370"/>
        <s v="P371"/>
        <s v="P372"/>
        <s v="P373"/>
        <s v="P374"/>
        <s v="P375"/>
        <s v="P376"/>
        <s v="P377"/>
        <s v="P378"/>
        <s v="P379"/>
        <s v="P380"/>
        <s v="P381"/>
        <s v="P382"/>
        <s v="P383"/>
        <s v="P384"/>
        <s v="P385"/>
        <s v="P386"/>
        <s v="P387"/>
        <s v="P388"/>
        <s v="P389"/>
        <s v="P390"/>
        <s v="P391"/>
        <s v="P392"/>
        <s v="P393"/>
        <s v="P394"/>
        <s v="P395"/>
        <s v="P396"/>
        <s v="P397"/>
        <s v="P398"/>
        <s v="P399"/>
        <s v="P400"/>
        <s v="P401"/>
        <s v="P402"/>
        <s v="P403"/>
        <s v="P404"/>
        <s v="P405"/>
        <s v="P406"/>
        <s v="P407"/>
        <s v="P408"/>
        <s v="P409"/>
        <s v="P410"/>
        <s v="P411"/>
        <s v="P412"/>
        <s v="P413"/>
        <s v="P414"/>
        <s v="P415"/>
        <s v="P416"/>
        <s v="P417"/>
        <s v="P418"/>
        <s v="P419"/>
        <s v="P420"/>
        <s v="P421"/>
        <s v="P422"/>
        <s v="P423"/>
        <s v="P424"/>
        <s v="P425"/>
        <s v="P426"/>
        <s v="P427"/>
        <s v="P428"/>
        <s v="P429"/>
        <s v="P430"/>
        <s v="P431"/>
        <s v="P432"/>
        <s v="P433"/>
        <s v="P434"/>
        <s v="P435"/>
        <s v="P436"/>
        <s v="P437"/>
        <s v="P438"/>
        <s v="P439"/>
        <s v="P440"/>
        <s v="P441"/>
        <s v="P442"/>
        <s v="P443"/>
        <s v="P444"/>
        <s v="P445"/>
        <s v="P446"/>
        <s v="P447"/>
        <s v="P448"/>
        <s v="P449"/>
        <s v="P450"/>
        <s v="P451"/>
        <s v="P452"/>
        <s v="P453"/>
        <s v="P454"/>
        <s v="P455"/>
        <s v="P456"/>
        <s v="P457"/>
        <s v="P458"/>
        <s v="P459"/>
        <s v="P460"/>
        <s v="P461"/>
        <s v="P462"/>
        <s v="P463"/>
        <s v="P464"/>
        <s v="P465"/>
        <s v="P466"/>
        <s v="P467"/>
        <s v="P468"/>
        <s v="P469"/>
        <s v="P470"/>
        <s v="P471"/>
        <s v="P472"/>
        <s v="P473"/>
        <s v="P474"/>
        <s v="P475"/>
        <s v="P476"/>
        <s v="P477"/>
        <s v="P478"/>
        <s v="P479"/>
        <s v="P480"/>
        <s v="P481"/>
        <s v="P482"/>
        <s v="P483"/>
        <s v="P484"/>
        <s v="P485"/>
        <s v="P486"/>
        <s v="P487"/>
        <s v="P488"/>
        <s v="P489"/>
        <s v="P490"/>
        <s v="P491"/>
        <s v="P492"/>
        <s v="P493"/>
        <s v="P494"/>
        <s v="P495"/>
        <s v="P496"/>
        <s v="P497"/>
        <s v="P498"/>
        <s v="P499"/>
        <s v="P500"/>
      </sharedItems>
    </cacheField>
    <cacheField name="Name" numFmtId="0">
      <sharedItems/>
    </cacheField>
    <cacheField name="Age" numFmtId="0">
      <sharedItems containsSemiMixedTypes="0" containsString="0" containsNumber="1" containsInteger="1" minValue="18" maxValue="80"/>
    </cacheField>
    <cacheField name="Gender" numFmtId="0">
      <sharedItems count="2">
        <s v="F"/>
        <s v="M"/>
      </sharedItems>
    </cacheField>
    <cacheField name="Department" numFmtId="0">
      <sharedItems count="6">
        <s v="General"/>
        <s v="Oncology"/>
        <s v="Neurology"/>
        <s v="Gynecology"/>
        <s v="Cardiology"/>
        <s v="Orthopedics"/>
      </sharedItems>
    </cacheField>
    <cacheField name="Doctor" numFmtId="0">
      <sharedItems/>
    </cacheField>
    <cacheField name="VisitDate" numFmtId="14">
      <sharedItems containsSemiMixedTypes="0" containsNonDate="0" containsDate="1" containsString="0" minDate="2025-01-01T00:00:00" maxDate="2025-02-01T00:00:00"/>
    </cacheField>
    <cacheField name="Diagnosis" numFmtId="0">
      <sharedItems/>
    </cacheField>
    <cacheField name="TreatmentCost" numFmtId="0">
      <sharedItems containsSemiMixedTypes="0" containsString="0" containsNumber="1" containsInteger="1" minValue="1617" maxValue="119284"/>
    </cacheField>
    <cacheField name="StayDays" numFmtId="0">
      <sharedItems containsSemiMixedTypes="0" containsString="0" containsNumber="1" containsInteger="1" minValue="0" maxValue="12"/>
    </cacheField>
    <cacheField name="Insurance" numFmtId="0">
      <sharedItems count="2">
        <s v="Yes"/>
        <s v="No"/>
      </sharedItems>
    </cacheField>
    <cacheField name="Outcome" numFmtId="0">
      <sharedItems count="3">
        <s v="Critical"/>
        <s v="Recovered"/>
        <s v="Under Treatment"/>
      </sharedItems>
    </cacheField>
  </cacheFields>
  <extLst>
    <ext xmlns:x14="http://schemas.microsoft.com/office/spreadsheetml/2009/9/main" uri="{725AE2AE-9491-48be-B2B4-4EB974FC3084}">
      <x14:pivotCacheDefinition pivotCacheId="956247975"/>
    </ext>
  </extLst>
</pivotCacheDefinition>
</file>

<file path=xl/pivotCache/pivotCacheRecords1.xml><?xml version="1.0" encoding="utf-8"?>
<pivotCacheRecords xmlns="http://schemas.openxmlformats.org/spreadsheetml/2006/main" xmlns:r="http://schemas.openxmlformats.org/officeDocument/2006/relationships" count="500">
  <r>
    <x v="0"/>
    <s v="Arif Shaikh"/>
    <n v="19"/>
    <x v="0"/>
    <x v="0"/>
    <s v="Dr. Vivek"/>
    <d v="2025-01-08T00:00:00"/>
    <s v="Arrhythmia"/>
    <n v="19289"/>
    <n v="11"/>
    <x v="0"/>
    <x v="0"/>
  </r>
  <r>
    <x v="1"/>
    <s v="Yusuf Khan"/>
    <n v="23"/>
    <x v="0"/>
    <x v="0"/>
    <s v="Dr. Vivek"/>
    <d v="2025-01-02T00:00:00"/>
    <s v="Hypertension"/>
    <n v="13280"/>
    <n v="3"/>
    <x v="0"/>
    <x v="0"/>
  </r>
  <r>
    <x v="2"/>
    <s v="Aisha Khan"/>
    <n v="53"/>
    <x v="1"/>
    <x v="1"/>
    <s v="Dr. Dev"/>
    <d v="2025-01-23T00:00:00"/>
    <s v="Infection"/>
    <n v="29893"/>
    <n v="7"/>
    <x v="1"/>
    <x v="1"/>
  </r>
  <r>
    <x v="3"/>
    <s v="Imran Ansari"/>
    <n v="39"/>
    <x v="0"/>
    <x v="2"/>
    <s v="Dr. Sneha"/>
    <d v="2025-01-05T00:00:00"/>
    <s v="Back Pain"/>
    <n v="101072"/>
    <n v="5"/>
    <x v="0"/>
    <x v="1"/>
  </r>
  <r>
    <x v="4"/>
    <s v="Arif Shaikh"/>
    <n v="40"/>
    <x v="0"/>
    <x v="3"/>
    <s v="Dr. Nidhi"/>
    <d v="2025-01-20T00:00:00"/>
    <s v="Stroke"/>
    <n v="106791"/>
    <n v="0"/>
    <x v="1"/>
    <x v="0"/>
  </r>
  <r>
    <x v="5"/>
    <s v="Neha Sharma"/>
    <n v="23"/>
    <x v="0"/>
    <x v="4"/>
    <s v="Dr. Arjun"/>
    <d v="2025-01-27T00:00:00"/>
    <s v="Chest Pain"/>
    <n v="76674"/>
    <n v="3"/>
    <x v="0"/>
    <x v="1"/>
  </r>
  <r>
    <x v="6"/>
    <s v="Kunal Sharma"/>
    <n v="67"/>
    <x v="0"/>
    <x v="0"/>
    <s v="Dr. Vivek"/>
    <d v="2025-01-03T00:00:00"/>
    <s v="Arrhythmia"/>
    <n v="114571"/>
    <n v="1"/>
    <x v="1"/>
    <x v="2"/>
  </r>
  <r>
    <x v="7"/>
    <s v="Sadiq Qureshi"/>
    <n v="28"/>
    <x v="0"/>
    <x v="3"/>
    <s v="Dr. Nidhi"/>
    <d v="2025-01-12T00:00:00"/>
    <s v="Back Pain"/>
    <n v="88841"/>
    <n v="4"/>
    <x v="0"/>
    <x v="0"/>
  </r>
  <r>
    <x v="8"/>
    <s v="Vikram Rao"/>
    <n v="52"/>
    <x v="1"/>
    <x v="0"/>
    <s v="Dr. Vivek"/>
    <d v="2025-01-06T00:00:00"/>
    <s v="Diabetes"/>
    <n v="50735"/>
    <n v="4"/>
    <x v="0"/>
    <x v="0"/>
  </r>
  <r>
    <x v="9"/>
    <s v="Rohan Verma"/>
    <n v="32"/>
    <x v="1"/>
    <x v="5"/>
    <s v="Dr. Raj"/>
    <d v="2025-01-26T00:00:00"/>
    <s v="Breast Cancer"/>
    <n v="53581"/>
    <n v="4"/>
    <x v="0"/>
    <x v="1"/>
  </r>
  <r>
    <x v="10"/>
    <s v="Anjali Mehta"/>
    <n v="31"/>
    <x v="0"/>
    <x v="1"/>
    <s v="Dr. Dev"/>
    <d v="2025-01-13T00:00:00"/>
    <s v="Diabetes"/>
    <n v="19726"/>
    <n v="4"/>
    <x v="0"/>
    <x v="1"/>
  </r>
  <r>
    <x v="11"/>
    <s v="Yusuf Khan"/>
    <n v="52"/>
    <x v="0"/>
    <x v="0"/>
    <s v="Dr. Vivek"/>
    <d v="2025-01-24T00:00:00"/>
    <s v="Infection"/>
    <n v="118679"/>
    <n v="9"/>
    <x v="1"/>
    <x v="2"/>
  </r>
  <r>
    <x v="12"/>
    <s v="Simran Patel"/>
    <n v="50"/>
    <x v="0"/>
    <x v="2"/>
    <s v="Dr. Sneha"/>
    <d v="2025-01-03T00:00:00"/>
    <s v="Migraine"/>
    <n v="113866"/>
    <n v="1"/>
    <x v="0"/>
    <x v="0"/>
  </r>
  <r>
    <x v="13"/>
    <s v="Imran Ansari"/>
    <n v="56"/>
    <x v="1"/>
    <x v="2"/>
    <s v="Dr. Sneha"/>
    <d v="2025-01-13T00:00:00"/>
    <s v="Pregnancy Check"/>
    <n v="79104"/>
    <n v="7"/>
    <x v="1"/>
    <x v="0"/>
  </r>
  <r>
    <x v="14"/>
    <s v="Arif Shaikh"/>
    <n v="61"/>
    <x v="0"/>
    <x v="4"/>
    <s v="Dr. Arjun"/>
    <d v="2025-01-25T00:00:00"/>
    <s v="Breast Cancer"/>
    <n v="15621"/>
    <n v="4"/>
    <x v="1"/>
    <x v="1"/>
  </r>
  <r>
    <x v="15"/>
    <s v="Aisha Khan"/>
    <n v="79"/>
    <x v="0"/>
    <x v="3"/>
    <s v="Dr. Nidhi"/>
    <d v="2025-01-17T00:00:00"/>
    <s v="Flu"/>
    <n v="67542"/>
    <n v="1"/>
    <x v="1"/>
    <x v="0"/>
  </r>
  <r>
    <x v="16"/>
    <s v="Aman Kumar"/>
    <n v="30"/>
    <x v="1"/>
    <x v="1"/>
    <s v="Dr. Dev"/>
    <d v="2025-01-12T00:00:00"/>
    <s v="Flu"/>
    <n v="71697"/>
    <n v="12"/>
    <x v="0"/>
    <x v="0"/>
  </r>
  <r>
    <x v="17"/>
    <s v="Rehan Sheikh"/>
    <n v="19"/>
    <x v="1"/>
    <x v="5"/>
    <s v="Dr. Raj"/>
    <d v="2025-01-30T00:00:00"/>
    <s v="Chest Pain"/>
    <n v="116175"/>
    <n v="12"/>
    <x v="1"/>
    <x v="1"/>
  </r>
  <r>
    <x v="18"/>
    <s v="Kunal Sharma"/>
    <n v="74"/>
    <x v="1"/>
    <x v="4"/>
    <s v="Dr. Arjun"/>
    <d v="2025-01-03T00:00:00"/>
    <s v="Asthma"/>
    <n v="107957"/>
    <n v="1"/>
    <x v="0"/>
    <x v="1"/>
  </r>
  <r>
    <x v="19"/>
    <s v="Rehan Sheikh"/>
    <n v="78"/>
    <x v="1"/>
    <x v="0"/>
    <s v="Dr. Vivek"/>
    <d v="2025-01-09T00:00:00"/>
    <s v="Kidney Stone"/>
    <n v="115351"/>
    <n v="9"/>
    <x v="1"/>
    <x v="1"/>
  </r>
  <r>
    <x v="20"/>
    <s v="Sana Ali"/>
    <n v="63"/>
    <x v="0"/>
    <x v="1"/>
    <s v="Dr. Dev"/>
    <d v="2025-01-13T00:00:00"/>
    <s v="Chest Pain"/>
    <n v="58422"/>
    <n v="8"/>
    <x v="1"/>
    <x v="1"/>
  </r>
  <r>
    <x v="21"/>
    <s v="Kunal Sharma"/>
    <n v="22"/>
    <x v="0"/>
    <x v="2"/>
    <s v="Dr. Sneha"/>
    <d v="2025-01-01T00:00:00"/>
    <s v="Arrhythmia"/>
    <n v="78128"/>
    <n v="3"/>
    <x v="0"/>
    <x v="1"/>
  </r>
  <r>
    <x v="22"/>
    <s v="Rohan Verma"/>
    <n v="32"/>
    <x v="1"/>
    <x v="0"/>
    <s v="Dr. Vivek"/>
    <d v="2025-01-29T00:00:00"/>
    <s v="Migraine"/>
    <n v="113674"/>
    <n v="5"/>
    <x v="0"/>
    <x v="0"/>
  </r>
  <r>
    <x v="23"/>
    <s v="Farheen Syed"/>
    <n v="60"/>
    <x v="0"/>
    <x v="2"/>
    <s v="Dr. Sneha"/>
    <d v="2025-01-07T00:00:00"/>
    <s v="Lung Cancer"/>
    <n v="95811"/>
    <n v="9"/>
    <x v="1"/>
    <x v="1"/>
  </r>
  <r>
    <x v="24"/>
    <s v="Imran Ansari"/>
    <n v="30"/>
    <x v="1"/>
    <x v="3"/>
    <s v="Dr. Nidhi"/>
    <d v="2025-01-04T00:00:00"/>
    <s v="Infection"/>
    <n v="47438"/>
    <n v="6"/>
    <x v="1"/>
    <x v="2"/>
  </r>
  <r>
    <x v="25"/>
    <s v="Rohan Verma"/>
    <n v="61"/>
    <x v="1"/>
    <x v="0"/>
    <s v="Dr. Vivek"/>
    <d v="2025-01-02T00:00:00"/>
    <s v="Pregnancy Check"/>
    <n v="96448"/>
    <n v="5"/>
    <x v="0"/>
    <x v="1"/>
  </r>
  <r>
    <x v="26"/>
    <s v="Sana Ali"/>
    <n v="52"/>
    <x v="0"/>
    <x v="2"/>
    <s v="Dr. Sneha"/>
    <d v="2025-01-05T00:00:00"/>
    <s v="Infection"/>
    <n v="25050"/>
    <n v="4"/>
    <x v="1"/>
    <x v="1"/>
  </r>
  <r>
    <x v="27"/>
    <s v="Divya Rao"/>
    <n v="69"/>
    <x v="1"/>
    <x v="4"/>
    <s v="Dr. Arjun"/>
    <d v="2025-01-02T00:00:00"/>
    <s v="Hypertension"/>
    <n v="13224"/>
    <n v="12"/>
    <x v="0"/>
    <x v="1"/>
  </r>
  <r>
    <x v="28"/>
    <s v="Rehan Sheikh"/>
    <n v="48"/>
    <x v="1"/>
    <x v="3"/>
    <s v="Dr. Nidhi"/>
    <d v="2025-01-28T00:00:00"/>
    <s v="Pregnancy Check"/>
    <n v="119284"/>
    <n v="0"/>
    <x v="0"/>
    <x v="2"/>
  </r>
  <r>
    <x v="29"/>
    <s v="Neha Sharma"/>
    <n v="34"/>
    <x v="0"/>
    <x v="4"/>
    <s v="Dr. Arjun"/>
    <d v="2025-01-10T00:00:00"/>
    <s v="Infection"/>
    <n v="92303"/>
    <n v="11"/>
    <x v="1"/>
    <x v="1"/>
  </r>
  <r>
    <x v="30"/>
    <s v="Ritik Soni"/>
    <n v="31"/>
    <x v="1"/>
    <x v="2"/>
    <s v="Dr. Sneha"/>
    <d v="2025-01-19T00:00:00"/>
    <s v="Migraine"/>
    <n v="99038"/>
    <n v="5"/>
    <x v="0"/>
    <x v="1"/>
  </r>
  <r>
    <x v="31"/>
    <s v="Rehan Sheikh"/>
    <n v="50"/>
    <x v="1"/>
    <x v="1"/>
    <s v="Dr. Dev"/>
    <d v="2025-01-02T00:00:00"/>
    <s v="Kidney Stone"/>
    <n v="11500"/>
    <n v="2"/>
    <x v="0"/>
    <x v="0"/>
  </r>
  <r>
    <x v="32"/>
    <s v="Kunal Sharma"/>
    <n v="43"/>
    <x v="1"/>
    <x v="4"/>
    <s v="Dr. Arjun"/>
    <d v="2025-01-31T00:00:00"/>
    <s v="Arrhythmia"/>
    <n v="76880"/>
    <n v="9"/>
    <x v="0"/>
    <x v="0"/>
  </r>
  <r>
    <x v="33"/>
    <s v="Imran Ansari"/>
    <n v="60"/>
    <x v="0"/>
    <x v="4"/>
    <s v="Dr. Arjun"/>
    <d v="2025-01-30T00:00:00"/>
    <s v="Stroke"/>
    <n v="27772"/>
    <n v="10"/>
    <x v="1"/>
    <x v="1"/>
  </r>
  <r>
    <x v="34"/>
    <s v="Neha Sharma"/>
    <n v="26"/>
    <x v="0"/>
    <x v="5"/>
    <s v="Dr. Raj"/>
    <d v="2025-01-15T00:00:00"/>
    <s v="Breast Cancer"/>
    <n v="99548"/>
    <n v="1"/>
    <x v="0"/>
    <x v="2"/>
  </r>
  <r>
    <x v="35"/>
    <s v="Sara Shaikh"/>
    <n v="24"/>
    <x v="1"/>
    <x v="1"/>
    <s v="Dr. Dev"/>
    <d v="2025-01-18T00:00:00"/>
    <s v="Back Pain"/>
    <n v="67307"/>
    <n v="4"/>
    <x v="0"/>
    <x v="2"/>
  </r>
  <r>
    <x v="36"/>
    <s v="Kunal Sharma"/>
    <n v="41"/>
    <x v="0"/>
    <x v="4"/>
    <s v="Dr. Arjun"/>
    <d v="2025-01-06T00:00:00"/>
    <s v="Diabetes"/>
    <n v="110280"/>
    <n v="8"/>
    <x v="1"/>
    <x v="0"/>
  </r>
  <r>
    <x v="37"/>
    <s v="Pooja Gupta"/>
    <n v="18"/>
    <x v="0"/>
    <x v="0"/>
    <s v="Dr. Vivek"/>
    <d v="2025-01-30T00:00:00"/>
    <s v="PCOD"/>
    <n v="116097"/>
    <n v="2"/>
    <x v="1"/>
    <x v="1"/>
  </r>
  <r>
    <x v="38"/>
    <s v="Yusuf Khan"/>
    <n v="27"/>
    <x v="0"/>
    <x v="4"/>
    <s v="Dr. Arjun"/>
    <d v="2025-01-10T00:00:00"/>
    <s v="Back Pain"/>
    <n v="95058"/>
    <n v="5"/>
    <x v="0"/>
    <x v="0"/>
  </r>
  <r>
    <x v="39"/>
    <s v="Farheen Syed"/>
    <n v="50"/>
    <x v="0"/>
    <x v="0"/>
    <s v="Dr. Vivek"/>
    <d v="2025-01-09T00:00:00"/>
    <s v="Migraine"/>
    <n v="13097"/>
    <n v="10"/>
    <x v="1"/>
    <x v="2"/>
  </r>
  <r>
    <x v="40"/>
    <s v="Aisha Khan"/>
    <n v="39"/>
    <x v="1"/>
    <x v="4"/>
    <s v="Dr. Arjun"/>
    <d v="2025-01-21T00:00:00"/>
    <s v="Stroke"/>
    <n v="22178"/>
    <n v="11"/>
    <x v="1"/>
    <x v="0"/>
  </r>
  <r>
    <x v="41"/>
    <s v="Imran Ansari"/>
    <n v="53"/>
    <x v="1"/>
    <x v="0"/>
    <s v="Dr. Vivek"/>
    <d v="2025-01-04T00:00:00"/>
    <s v="Fracture"/>
    <n v="116750"/>
    <n v="11"/>
    <x v="0"/>
    <x v="0"/>
  </r>
  <r>
    <x v="42"/>
    <s v="Sadiq Qureshi"/>
    <n v="55"/>
    <x v="1"/>
    <x v="4"/>
    <s v="Dr. Arjun"/>
    <d v="2025-01-14T00:00:00"/>
    <s v="Lung Cancer"/>
    <n v="6482"/>
    <n v="4"/>
    <x v="1"/>
    <x v="1"/>
  </r>
  <r>
    <x v="43"/>
    <s v="Sana Ali"/>
    <n v="61"/>
    <x v="1"/>
    <x v="5"/>
    <s v="Dr. Raj"/>
    <d v="2025-01-22T00:00:00"/>
    <s v="PCOD"/>
    <n v="47357"/>
    <n v="12"/>
    <x v="1"/>
    <x v="0"/>
  </r>
  <r>
    <x v="44"/>
    <s v="Simran Patel"/>
    <n v="77"/>
    <x v="1"/>
    <x v="0"/>
    <s v="Dr. Vivek"/>
    <d v="2025-01-28T00:00:00"/>
    <s v="Flu"/>
    <n v="105842"/>
    <n v="12"/>
    <x v="0"/>
    <x v="2"/>
  </r>
  <r>
    <x v="45"/>
    <s v="Vikram Rao"/>
    <n v="65"/>
    <x v="0"/>
    <x v="4"/>
    <s v="Dr. Arjun"/>
    <d v="2025-01-26T00:00:00"/>
    <s v="Infection"/>
    <n v="106150"/>
    <n v="10"/>
    <x v="0"/>
    <x v="2"/>
  </r>
  <r>
    <x v="46"/>
    <s v="Arif Shaikh"/>
    <n v="42"/>
    <x v="1"/>
    <x v="2"/>
    <s v="Dr. Sneha"/>
    <d v="2025-01-28T00:00:00"/>
    <s v="Asthma"/>
    <n v="30154"/>
    <n v="3"/>
    <x v="1"/>
    <x v="2"/>
  </r>
  <r>
    <x v="47"/>
    <s v="Kunal Sharma"/>
    <n v="32"/>
    <x v="1"/>
    <x v="5"/>
    <s v="Dr. Raj"/>
    <d v="2025-01-22T00:00:00"/>
    <s v="Back Pain"/>
    <n v="53227"/>
    <n v="5"/>
    <x v="1"/>
    <x v="1"/>
  </r>
  <r>
    <x v="48"/>
    <s v="Sadiq Qureshi"/>
    <n v="59"/>
    <x v="0"/>
    <x v="5"/>
    <s v="Dr. Raj"/>
    <d v="2025-01-22T00:00:00"/>
    <s v="Breast Cancer"/>
    <n v="4617"/>
    <n v="1"/>
    <x v="1"/>
    <x v="1"/>
  </r>
  <r>
    <x v="49"/>
    <s v="Farheen Syed"/>
    <n v="20"/>
    <x v="1"/>
    <x v="1"/>
    <s v="Dr. Dev"/>
    <d v="2025-01-20T00:00:00"/>
    <s v="Infection"/>
    <n v="46309"/>
    <n v="11"/>
    <x v="1"/>
    <x v="2"/>
  </r>
  <r>
    <x v="50"/>
    <s v="Pooja Gupta"/>
    <n v="25"/>
    <x v="0"/>
    <x v="1"/>
    <s v="Dr. Dev"/>
    <d v="2025-01-29T00:00:00"/>
    <s v="Back Pain"/>
    <n v="34386"/>
    <n v="0"/>
    <x v="1"/>
    <x v="1"/>
  </r>
  <r>
    <x v="51"/>
    <s v="Yusuf Khan"/>
    <n v="61"/>
    <x v="1"/>
    <x v="1"/>
    <s v="Dr. Dev"/>
    <d v="2025-01-12T00:00:00"/>
    <s v="Infection"/>
    <n v="10171"/>
    <n v="10"/>
    <x v="1"/>
    <x v="0"/>
  </r>
  <r>
    <x v="52"/>
    <s v="Arif Shaikh"/>
    <n v="64"/>
    <x v="0"/>
    <x v="5"/>
    <s v="Dr. Raj"/>
    <d v="2025-01-17T00:00:00"/>
    <s v="Fever"/>
    <n v="88410"/>
    <n v="6"/>
    <x v="1"/>
    <x v="2"/>
  </r>
  <r>
    <x v="53"/>
    <s v="Ritik Soni"/>
    <n v="53"/>
    <x v="1"/>
    <x v="0"/>
    <s v="Dr. Vivek"/>
    <d v="2025-01-07T00:00:00"/>
    <s v="Infection"/>
    <n v="88153"/>
    <n v="6"/>
    <x v="0"/>
    <x v="0"/>
  </r>
  <r>
    <x v="54"/>
    <s v="Ritik Soni"/>
    <n v="43"/>
    <x v="1"/>
    <x v="1"/>
    <s v="Dr. Dev"/>
    <d v="2025-01-10T00:00:00"/>
    <s v="Fever"/>
    <n v="28549"/>
    <n v="6"/>
    <x v="1"/>
    <x v="2"/>
  </r>
  <r>
    <x v="55"/>
    <s v="Divya Rao"/>
    <n v="61"/>
    <x v="1"/>
    <x v="3"/>
    <s v="Dr. Nidhi"/>
    <d v="2025-01-17T00:00:00"/>
    <s v="Asthma"/>
    <n v="105036"/>
    <n v="12"/>
    <x v="0"/>
    <x v="0"/>
  </r>
  <r>
    <x v="56"/>
    <s v="Ritik Soni"/>
    <n v="50"/>
    <x v="0"/>
    <x v="4"/>
    <s v="Dr. Arjun"/>
    <d v="2025-01-03T00:00:00"/>
    <s v="Arrhythmia"/>
    <n v="89184"/>
    <n v="4"/>
    <x v="0"/>
    <x v="1"/>
  </r>
  <r>
    <x v="57"/>
    <s v="Aisha Khan"/>
    <n v="20"/>
    <x v="1"/>
    <x v="2"/>
    <s v="Dr. Sneha"/>
    <d v="2025-01-16T00:00:00"/>
    <s v="Fracture"/>
    <n v="60692"/>
    <n v="6"/>
    <x v="0"/>
    <x v="0"/>
  </r>
  <r>
    <x v="58"/>
    <s v="Neha Sharma"/>
    <n v="49"/>
    <x v="0"/>
    <x v="0"/>
    <s v="Dr. Vivek"/>
    <d v="2025-01-08T00:00:00"/>
    <s v="Lung Cancer"/>
    <n v="86990"/>
    <n v="11"/>
    <x v="0"/>
    <x v="1"/>
  </r>
  <r>
    <x v="59"/>
    <s v="Kunal Sharma"/>
    <n v="29"/>
    <x v="0"/>
    <x v="3"/>
    <s v="Dr. Nidhi"/>
    <d v="2025-01-02T00:00:00"/>
    <s v="Arrhythmia"/>
    <n v="112193"/>
    <n v="1"/>
    <x v="1"/>
    <x v="1"/>
  </r>
  <r>
    <x v="60"/>
    <s v="Pooja Gupta"/>
    <n v="53"/>
    <x v="0"/>
    <x v="3"/>
    <s v="Dr. Nidhi"/>
    <d v="2025-01-31T00:00:00"/>
    <s v="Diabetes"/>
    <n v="81301"/>
    <n v="11"/>
    <x v="1"/>
    <x v="0"/>
  </r>
  <r>
    <x v="61"/>
    <s v="Vikram Rao"/>
    <n v="65"/>
    <x v="0"/>
    <x v="3"/>
    <s v="Dr. Nidhi"/>
    <d v="2025-01-15T00:00:00"/>
    <s v="Stroke"/>
    <n v="99536"/>
    <n v="3"/>
    <x v="1"/>
    <x v="0"/>
  </r>
  <r>
    <x v="62"/>
    <s v="Kunal Sharma"/>
    <n v="35"/>
    <x v="0"/>
    <x v="3"/>
    <s v="Dr. Nidhi"/>
    <d v="2025-01-03T00:00:00"/>
    <s v="Fever"/>
    <n v="31735"/>
    <n v="4"/>
    <x v="1"/>
    <x v="2"/>
  </r>
  <r>
    <x v="63"/>
    <s v="Meera Singh"/>
    <n v="26"/>
    <x v="1"/>
    <x v="1"/>
    <s v="Dr. Dev"/>
    <d v="2025-01-08T00:00:00"/>
    <s v="Pregnancy Check"/>
    <n v="91957"/>
    <n v="2"/>
    <x v="0"/>
    <x v="1"/>
  </r>
  <r>
    <x v="64"/>
    <s v="Imran Ansari"/>
    <n v="39"/>
    <x v="0"/>
    <x v="3"/>
    <s v="Dr. Nidhi"/>
    <d v="2025-01-14T00:00:00"/>
    <s v="Migraine"/>
    <n v="28110"/>
    <n v="6"/>
    <x v="1"/>
    <x v="0"/>
  </r>
  <r>
    <x v="65"/>
    <s v="Aisha Khan"/>
    <n v="72"/>
    <x v="0"/>
    <x v="0"/>
    <s v="Dr. Vivek"/>
    <d v="2025-01-16T00:00:00"/>
    <s v="Hypertension"/>
    <n v="47105"/>
    <n v="4"/>
    <x v="1"/>
    <x v="2"/>
  </r>
  <r>
    <x v="66"/>
    <s v="Yusuf Khan"/>
    <n v="69"/>
    <x v="1"/>
    <x v="1"/>
    <s v="Dr. Dev"/>
    <d v="2025-01-16T00:00:00"/>
    <s v="Arrhythmia"/>
    <n v="36774"/>
    <n v="6"/>
    <x v="1"/>
    <x v="1"/>
  </r>
  <r>
    <x v="67"/>
    <s v="Anjali Mehta"/>
    <n v="60"/>
    <x v="0"/>
    <x v="3"/>
    <s v="Dr. Nidhi"/>
    <d v="2025-01-24T00:00:00"/>
    <s v="Flu"/>
    <n v="111166"/>
    <n v="7"/>
    <x v="0"/>
    <x v="0"/>
  </r>
  <r>
    <x v="68"/>
    <s v="Aisha Khan"/>
    <n v="76"/>
    <x v="0"/>
    <x v="1"/>
    <s v="Dr. Dev"/>
    <d v="2025-01-19T00:00:00"/>
    <s v="Hypertension"/>
    <n v="12003"/>
    <n v="10"/>
    <x v="1"/>
    <x v="1"/>
  </r>
  <r>
    <x v="69"/>
    <s v="Vikram Rao"/>
    <n v="21"/>
    <x v="0"/>
    <x v="3"/>
    <s v="Dr. Nidhi"/>
    <d v="2025-01-13T00:00:00"/>
    <s v="Breast Cancer"/>
    <n v="28742"/>
    <n v="7"/>
    <x v="1"/>
    <x v="2"/>
  </r>
  <r>
    <x v="70"/>
    <s v="Farheen Syed"/>
    <n v="66"/>
    <x v="0"/>
    <x v="3"/>
    <s v="Dr. Nidhi"/>
    <d v="2025-01-09T00:00:00"/>
    <s v="Fracture"/>
    <n v="62644"/>
    <n v="0"/>
    <x v="0"/>
    <x v="2"/>
  </r>
  <r>
    <x v="71"/>
    <s v="Meera Singh"/>
    <n v="67"/>
    <x v="1"/>
    <x v="2"/>
    <s v="Dr. Sneha"/>
    <d v="2025-01-25T00:00:00"/>
    <s v="Hypertension"/>
    <n v="33411"/>
    <n v="3"/>
    <x v="0"/>
    <x v="0"/>
  </r>
  <r>
    <x v="72"/>
    <s v="Kunal Sharma"/>
    <n v="26"/>
    <x v="0"/>
    <x v="2"/>
    <s v="Dr. Sneha"/>
    <d v="2025-01-22T00:00:00"/>
    <s v="PCOD"/>
    <n v="74920"/>
    <n v="3"/>
    <x v="1"/>
    <x v="0"/>
  </r>
  <r>
    <x v="73"/>
    <s v="Sadiq Qureshi"/>
    <n v="28"/>
    <x v="1"/>
    <x v="5"/>
    <s v="Dr. Raj"/>
    <d v="2025-01-25T00:00:00"/>
    <s v="Flu"/>
    <n v="41768"/>
    <n v="1"/>
    <x v="0"/>
    <x v="2"/>
  </r>
  <r>
    <x v="74"/>
    <s v="Neha Sharma"/>
    <n v="43"/>
    <x v="1"/>
    <x v="1"/>
    <s v="Dr. Dev"/>
    <d v="2025-01-03T00:00:00"/>
    <s v="Arrhythmia"/>
    <n v="14356"/>
    <n v="11"/>
    <x v="1"/>
    <x v="0"/>
  </r>
  <r>
    <x v="75"/>
    <s v="Arif Shaikh"/>
    <n v="68"/>
    <x v="1"/>
    <x v="1"/>
    <s v="Dr. Dev"/>
    <d v="2025-01-12T00:00:00"/>
    <s v="Infection"/>
    <n v="87706"/>
    <n v="5"/>
    <x v="0"/>
    <x v="0"/>
  </r>
  <r>
    <x v="76"/>
    <s v="Anjali Mehta"/>
    <n v="18"/>
    <x v="0"/>
    <x v="0"/>
    <s v="Dr. Vivek"/>
    <d v="2025-01-27T00:00:00"/>
    <s v="Asthma"/>
    <n v="14833"/>
    <n v="6"/>
    <x v="1"/>
    <x v="0"/>
  </r>
  <r>
    <x v="77"/>
    <s v="Simran Patel"/>
    <n v="45"/>
    <x v="1"/>
    <x v="3"/>
    <s v="Dr. Nidhi"/>
    <d v="2025-01-24T00:00:00"/>
    <s v="Kidney Stone"/>
    <n v="86256"/>
    <n v="4"/>
    <x v="1"/>
    <x v="2"/>
  </r>
  <r>
    <x v="78"/>
    <s v="Sara Shaikh"/>
    <n v="35"/>
    <x v="0"/>
    <x v="3"/>
    <s v="Dr. Nidhi"/>
    <d v="2025-01-28T00:00:00"/>
    <s v="Arrhythmia"/>
    <n v="109885"/>
    <n v="1"/>
    <x v="1"/>
    <x v="2"/>
  </r>
  <r>
    <x v="79"/>
    <s v="Divya Rao"/>
    <n v="54"/>
    <x v="0"/>
    <x v="2"/>
    <s v="Dr. Sneha"/>
    <d v="2025-01-11T00:00:00"/>
    <s v="Hypertension"/>
    <n v="65789"/>
    <n v="5"/>
    <x v="0"/>
    <x v="2"/>
  </r>
  <r>
    <x v="80"/>
    <s v="Sadiq Qureshi"/>
    <n v="69"/>
    <x v="0"/>
    <x v="2"/>
    <s v="Dr. Sneha"/>
    <d v="2025-01-11T00:00:00"/>
    <s v="Stroke"/>
    <n v="116385"/>
    <n v="9"/>
    <x v="1"/>
    <x v="0"/>
  </r>
  <r>
    <x v="81"/>
    <s v="Pooja Gupta"/>
    <n v="78"/>
    <x v="1"/>
    <x v="4"/>
    <s v="Dr. Arjun"/>
    <d v="2025-01-03T00:00:00"/>
    <s v="Arrhythmia"/>
    <n v="95381"/>
    <n v="6"/>
    <x v="1"/>
    <x v="0"/>
  </r>
  <r>
    <x v="82"/>
    <s v="Rehan Sheikh"/>
    <n v="59"/>
    <x v="0"/>
    <x v="2"/>
    <s v="Dr. Sneha"/>
    <d v="2025-01-15T00:00:00"/>
    <s v="Hypertension"/>
    <n v="13196"/>
    <n v="4"/>
    <x v="0"/>
    <x v="2"/>
  </r>
  <r>
    <x v="83"/>
    <s v="Kunal Sharma"/>
    <n v="37"/>
    <x v="0"/>
    <x v="0"/>
    <s v="Dr. Vivek"/>
    <d v="2025-01-16T00:00:00"/>
    <s v="Kidney Stone"/>
    <n v="46056"/>
    <n v="6"/>
    <x v="1"/>
    <x v="2"/>
  </r>
  <r>
    <x v="84"/>
    <s v="Divya Rao"/>
    <n v="35"/>
    <x v="0"/>
    <x v="0"/>
    <s v="Dr. Vivek"/>
    <d v="2025-01-09T00:00:00"/>
    <s v="Arrhythmia"/>
    <n v="16814"/>
    <n v="11"/>
    <x v="0"/>
    <x v="2"/>
  </r>
  <r>
    <x v="85"/>
    <s v="Yusuf Khan"/>
    <n v="78"/>
    <x v="1"/>
    <x v="4"/>
    <s v="Dr. Arjun"/>
    <d v="2025-01-07T00:00:00"/>
    <s v="Back Pain"/>
    <n v="97810"/>
    <n v="7"/>
    <x v="1"/>
    <x v="0"/>
  </r>
  <r>
    <x v="86"/>
    <s v="Pooja Gupta"/>
    <n v="56"/>
    <x v="0"/>
    <x v="1"/>
    <s v="Dr. Dev"/>
    <d v="2025-01-04T00:00:00"/>
    <s v="Back Pain"/>
    <n v="39829"/>
    <n v="3"/>
    <x v="1"/>
    <x v="1"/>
  </r>
  <r>
    <x v="87"/>
    <s v="Aisha Khan"/>
    <n v="63"/>
    <x v="1"/>
    <x v="5"/>
    <s v="Dr. Raj"/>
    <d v="2025-01-09T00:00:00"/>
    <s v="Migraine"/>
    <n v="8146"/>
    <n v="8"/>
    <x v="1"/>
    <x v="0"/>
  </r>
  <r>
    <x v="88"/>
    <s v="Rehan Sheikh"/>
    <n v="24"/>
    <x v="1"/>
    <x v="2"/>
    <s v="Dr. Sneha"/>
    <d v="2025-01-19T00:00:00"/>
    <s v="Fever"/>
    <n v="62524"/>
    <n v="7"/>
    <x v="1"/>
    <x v="2"/>
  </r>
  <r>
    <x v="89"/>
    <s v="Rohan Verma"/>
    <n v="34"/>
    <x v="0"/>
    <x v="2"/>
    <s v="Dr. Sneha"/>
    <d v="2025-01-04T00:00:00"/>
    <s v="Fracture"/>
    <n v="53521"/>
    <n v="7"/>
    <x v="0"/>
    <x v="0"/>
  </r>
  <r>
    <x v="90"/>
    <s v="Rohan Verma"/>
    <n v="27"/>
    <x v="1"/>
    <x v="0"/>
    <s v="Dr. Vivek"/>
    <d v="2025-01-26T00:00:00"/>
    <s v="Fever"/>
    <n v="12164"/>
    <n v="3"/>
    <x v="0"/>
    <x v="0"/>
  </r>
  <r>
    <x v="91"/>
    <s v="Aman Kumar"/>
    <n v="56"/>
    <x v="1"/>
    <x v="3"/>
    <s v="Dr. Nidhi"/>
    <d v="2025-01-25T00:00:00"/>
    <s v="Kidney Stone"/>
    <n v="50856"/>
    <n v="7"/>
    <x v="1"/>
    <x v="2"/>
  </r>
  <r>
    <x v="92"/>
    <s v="Imran Ansari"/>
    <n v="37"/>
    <x v="1"/>
    <x v="1"/>
    <s v="Dr. Dev"/>
    <d v="2025-01-20T00:00:00"/>
    <s v="PCOD"/>
    <n v="100973"/>
    <n v="3"/>
    <x v="0"/>
    <x v="2"/>
  </r>
  <r>
    <x v="93"/>
    <s v="Meera Singh"/>
    <n v="28"/>
    <x v="1"/>
    <x v="0"/>
    <s v="Dr. Vivek"/>
    <d v="2025-01-06T00:00:00"/>
    <s v="Fracture"/>
    <n v="21517"/>
    <n v="0"/>
    <x v="1"/>
    <x v="2"/>
  </r>
  <r>
    <x v="94"/>
    <s v="Aman Kumar"/>
    <n v="48"/>
    <x v="0"/>
    <x v="0"/>
    <s v="Dr. Vivek"/>
    <d v="2025-01-02T00:00:00"/>
    <s v="Arrhythmia"/>
    <n v="38762"/>
    <n v="11"/>
    <x v="1"/>
    <x v="0"/>
  </r>
  <r>
    <x v="95"/>
    <s v="Meera Singh"/>
    <n v="61"/>
    <x v="1"/>
    <x v="3"/>
    <s v="Dr. Nidhi"/>
    <d v="2025-01-30T00:00:00"/>
    <s v="Stroke"/>
    <n v="104262"/>
    <n v="12"/>
    <x v="0"/>
    <x v="2"/>
  </r>
  <r>
    <x v="96"/>
    <s v="Yusuf Khan"/>
    <n v="32"/>
    <x v="1"/>
    <x v="4"/>
    <s v="Dr. Arjun"/>
    <d v="2025-01-30T00:00:00"/>
    <s v="Stroke"/>
    <n v="109348"/>
    <n v="2"/>
    <x v="0"/>
    <x v="1"/>
  </r>
  <r>
    <x v="97"/>
    <s v="Ritik Soni"/>
    <n v="56"/>
    <x v="0"/>
    <x v="2"/>
    <s v="Dr. Sneha"/>
    <d v="2025-01-15T00:00:00"/>
    <s v="PCOD"/>
    <n v="62433"/>
    <n v="11"/>
    <x v="1"/>
    <x v="0"/>
  </r>
  <r>
    <x v="98"/>
    <s v="Farheen Syed"/>
    <n v="50"/>
    <x v="0"/>
    <x v="3"/>
    <s v="Dr. Nidhi"/>
    <d v="2025-01-15T00:00:00"/>
    <s v="Fracture"/>
    <n v="79385"/>
    <n v="0"/>
    <x v="1"/>
    <x v="0"/>
  </r>
  <r>
    <x v="99"/>
    <s v="Aman Kumar"/>
    <n v="34"/>
    <x v="1"/>
    <x v="5"/>
    <s v="Dr. Raj"/>
    <d v="2025-01-03T00:00:00"/>
    <s v="Arrhythmia"/>
    <n v="89381"/>
    <n v="9"/>
    <x v="0"/>
    <x v="0"/>
  </r>
  <r>
    <x v="100"/>
    <s v="Sara Shaikh"/>
    <n v="20"/>
    <x v="1"/>
    <x v="5"/>
    <s v="Dr. Raj"/>
    <d v="2025-01-16T00:00:00"/>
    <s v="Kidney Stone"/>
    <n v="86394"/>
    <n v="7"/>
    <x v="1"/>
    <x v="1"/>
  </r>
  <r>
    <x v="101"/>
    <s v="Imran Ansari"/>
    <n v="58"/>
    <x v="0"/>
    <x v="1"/>
    <s v="Dr. Dev"/>
    <d v="2025-01-03T00:00:00"/>
    <s v="Asthma"/>
    <n v="46607"/>
    <n v="6"/>
    <x v="1"/>
    <x v="2"/>
  </r>
  <r>
    <x v="102"/>
    <s v="Arif Shaikh"/>
    <n v="72"/>
    <x v="1"/>
    <x v="0"/>
    <s v="Dr. Vivek"/>
    <d v="2025-01-11T00:00:00"/>
    <s v="Infection"/>
    <n v="91921"/>
    <n v="7"/>
    <x v="1"/>
    <x v="0"/>
  </r>
  <r>
    <x v="103"/>
    <s v="Yusuf Khan"/>
    <n v="20"/>
    <x v="0"/>
    <x v="3"/>
    <s v="Dr. Nidhi"/>
    <d v="2025-01-03T00:00:00"/>
    <s v="Breast Cancer"/>
    <n v="34082"/>
    <n v="5"/>
    <x v="0"/>
    <x v="2"/>
  </r>
  <r>
    <x v="104"/>
    <s v="Aisha Khan"/>
    <n v="60"/>
    <x v="0"/>
    <x v="1"/>
    <s v="Dr. Dev"/>
    <d v="2025-01-14T00:00:00"/>
    <s v="Migraine"/>
    <n v="25586"/>
    <n v="8"/>
    <x v="1"/>
    <x v="0"/>
  </r>
  <r>
    <x v="105"/>
    <s v="Divya Rao"/>
    <n v="66"/>
    <x v="1"/>
    <x v="3"/>
    <s v="Dr. Nidhi"/>
    <d v="2025-01-07T00:00:00"/>
    <s v="Stroke"/>
    <n v="72987"/>
    <n v="2"/>
    <x v="1"/>
    <x v="2"/>
  </r>
  <r>
    <x v="106"/>
    <s v="Rehan Sheikh"/>
    <n v="25"/>
    <x v="1"/>
    <x v="0"/>
    <s v="Dr. Vivek"/>
    <d v="2025-01-21T00:00:00"/>
    <s v="Arrhythmia"/>
    <n v="94032"/>
    <n v="2"/>
    <x v="1"/>
    <x v="0"/>
  </r>
  <r>
    <x v="107"/>
    <s v="Yusuf Khan"/>
    <n v="44"/>
    <x v="1"/>
    <x v="4"/>
    <s v="Dr. Arjun"/>
    <d v="2025-01-08T00:00:00"/>
    <s v="PCOD"/>
    <n v="61482"/>
    <n v="1"/>
    <x v="0"/>
    <x v="2"/>
  </r>
  <r>
    <x v="108"/>
    <s v="Ritik Soni"/>
    <n v="50"/>
    <x v="0"/>
    <x v="0"/>
    <s v="Dr. Vivek"/>
    <d v="2025-01-14T00:00:00"/>
    <s v="Asthma"/>
    <n v="62894"/>
    <n v="3"/>
    <x v="1"/>
    <x v="0"/>
  </r>
  <r>
    <x v="109"/>
    <s v="Neha Sharma"/>
    <n v="30"/>
    <x v="1"/>
    <x v="2"/>
    <s v="Dr. Sneha"/>
    <d v="2025-01-28T00:00:00"/>
    <s v="Fracture"/>
    <n v="37208"/>
    <n v="12"/>
    <x v="1"/>
    <x v="2"/>
  </r>
  <r>
    <x v="110"/>
    <s v="Farheen Syed"/>
    <n v="70"/>
    <x v="1"/>
    <x v="1"/>
    <s v="Dr. Dev"/>
    <d v="2025-01-10T00:00:00"/>
    <s v="Fever"/>
    <n v="110769"/>
    <n v="9"/>
    <x v="1"/>
    <x v="1"/>
  </r>
  <r>
    <x v="111"/>
    <s v="Yusuf Khan"/>
    <n v="48"/>
    <x v="0"/>
    <x v="3"/>
    <s v="Dr. Nidhi"/>
    <d v="2025-01-11T00:00:00"/>
    <s v="Pregnancy Check"/>
    <n v="60682"/>
    <n v="5"/>
    <x v="0"/>
    <x v="0"/>
  </r>
  <r>
    <x v="112"/>
    <s v="Sara Shaikh"/>
    <n v="42"/>
    <x v="1"/>
    <x v="2"/>
    <s v="Dr. Sneha"/>
    <d v="2025-01-28T00:00:00"/>
    <s v="Infection"/>
    <n v="6720"/>
    <n v="5"/>
    <x v="1"/>
    <x v="0"/>
  </r>
  <r>
    <x v="113"/>
    <s v="Neha Sharma"/>
    <n v="60"/>
    <x v="1"/>
    <x v="3"/>
    <s v="Dr. Nidhi"/>
    <d v="2025-01-16T00:00:00"/>
    <s v="Migraine"/>
    <n v="17547"/>
    <n v="8"/>
    <x v="1"/>
    <x v="1"/>
  </r>
  <r>
    <x v="114"/>
    <s v="Arif Shaikh"/>
    <n v="51"/>
    <x v="0"/>
    <x v="3"/>
    <s v="Dr. Nidhi"/>
    <d v="2025-01-01T00:00:00"/>
    <s v="Lung Cancer"/>
    <n v="54736"/>
    <n v="10"/>
    <x v="0"/>
    <x v="1"/>
  </r>
  <r>
    <x v="115"/>
    <s v="Farheen Syed"/>
    <n v="39"/>
    <x v="0"/>
    <x v="3"/>
    <s v="Dr. Nidhi"/>
    <d v="2025-01-21T00:00:00"/>
    <s v="Fracture"/>
    <n v="112642"/>
    <n v="5"/>
    <x v="1"/>
    <x v="2"/>
  </r>
  <r>
    <x v="116"/>
    <s v="Rehan Sheikh"/>
    <n v="73"/>
    <x v="1"/>
    <x v="0"/>
    <s v="Dr. Vivek"/>
    <d v="2025-01-20T00:00:00"/>
    <s v="Fracture"/>
    <n v="31771"/>
    <n v="10"/>
    <x v="1"/>
    <x v="1"/>
  </r>
  <r>
    <x v="117"/>
    <s v="Meera Singh"/>
    <n v="45"/>
    <x v="1"/>
    <x v="0"/>
    <s v="Dr. Vivek"/>
    <d v="2025-01-25T00:00:00"/>
    <s v="PCOD"/>
    <n v="59153"/>
    <n v="2"/>
    <x v="1"/>
    <x v="1"/>
  </r>
  <r>
    <x v="118"/>
    <s v="Anjali Mehta"/>
    <n v="68"/>
    <x v="1"/>
    <x v="4"/>
    <s v="Dr. Arjun"/>
    <d v="2025-01-10T00:00:00"/>
    <s v="Chest Pain"/>
    <n v="50131"/>
    <n v="6"/>
    <x v="0"/>
    <x v="1"/>
  </r>
  <r>
    <x v="119"/>
    <s v="Imran Ansari"/>
    <n v="54"/>
    <x v="1"/>
    <x v="1"/>
    <s v="Dr. Dev"/>
    <d v="2025-01-06T00:00:00"/>
    <s v="Flu"/>
    <n v="11350"/>
    <n v="9"/>
    <x v="1"/>
    <x v="0"/>
  </r>
  <r>
    <x v="120"/>
    <s v="Kunal Sharma"/>
    <n v="49"/>
    <x v="1"/>
    <x v="0"/>
    <s v="Dr. Vivek"/>
    <d v="2025-01-08T00:00:00"/>
    <s v="Diabetes"/>
    <n v="84611"/>
    <n v="4"/>
    <x v="1"/>
    <x v="2"/>
  </r>
  <r>
    <x v="121"/>
    <s v="Aisha Khan"/>
    <n v="75"/>
    <x v="0"/>
    <x v="0"/>
    <s v="Dr. Vivek"/>
    <d v="2025-01-29T00:00:00"/>
    <s v="Fever"/>
    <n v="89815"/>
    <n v="8"/>
    <x v="0"/>
    <x v="1"/>
  </r>
  <r>
    <x v="122"/>
    <s v="Sadiq Qureshi"/>
    <n v="55"/>
    <x v="0"/>
    <x v="3"/>
    <s v="Dr. Nidhi"/>
    <d v="2025-01-21T00:00:00"/>
    <s v="Infection"/>
    <n v="91480"/>
    <n v="4"/>
    <x v="1"/>
    <x v="2"/>
  </r>
  <r>
    <x v="123"/>
    <s v="Neha Sharma"/>
    <n v="72"/>
    <x v="0"/>
    <x v="2"/>
    <s v="Dr. Sneha"/>
    <d v="2025-01-04T00:00:00"/>
    <s v="Arrhythmia"/>
    <n v="50986"/>
    <n v="9"/>
    <x v="1"/>
    <x v="0"/>
  </r>
  <r>
    <x v="124"/>
    <s v="Ritik Soni"/>
    <n v="19"/>
    <x v="0"/>
    <x v="5"/>
    <s v="Dr. Raj"/>
    <d v="2025-01-09T00:00:00"/>
    <s v="Hypertension"/>
    <n v="75177"/>
    <n v="10"/>
    <x v="0"/>
    <x v="0"/>
  </r>
  <r>
    <x v="125"/>
    <s v="Rehan Sheikh"/>
    <n v="71"/>
    <x v="0"/>
    <x v="0"/>
    <s v="Dr. Vivek"/>
    <d v="2025-01-25T00:00:00"/>
    <s v="Arrhythmia"/>
    <n v="80569"/>
    <n v="12"/>
    <x v="1"/>
    <x v="1"/>
  </r>
  <r>
    <x v="126"/>
    <s v="Sana Ali"/>
    <n v="57"/>
    <x v="0"/>
    <x v="0"/>
    <s v="Dr. Vivek"/>
    <d v="2025-01-22T00:00:00"/>
    <s v="Lung Cancer"/>
    <n v="83345"/>
    <n v="1"/>
    <x v="0"/>
    <x v="2"/>
  </r>
  <r>
    <x v="127"/>
    <s v="Rohan Verma"/>
    <n v="55"/>
    <x v="0"/>
    <x v="3"/>
    <s v="Dr. Nidhi"/>
    <d v="2025-01-24T00:00:00"/>
    <s v="Lung Cancer"/>
    <n v="12813"/>
    <n v="4"/>
    <x v="1"/>
    <x v="0"/>
  </r>
  <r>
    <x v="128"/>
    <s v="Vikram Rao"/>
    <n v="30"/>
    <x v="1"/>
    <x v="3"/>
    <s v="Dr. Nidhi"/>
    <d v="2025-01-26T00:00:00"/>
    <s v="Chest Pain"/>
    <n v="70579"/>
    <n v="8"/>
    <x v="1"/>
    <x v="1"/>
  </r>
  <r>
    <x v="129"/>
    <s v="Rehan Sheikh"/>
    <n v="79"/>
    <x v="0"/>
    <x v="5"/>
    <s v="Dr. Raj"/>
    <d v="2025-01-24T00:00:00"/>
    <s v="Breast Cancer"/>
    <n v="106412"/>
    <n v="1"/>
    <x v="1"/>
    <x v="1"/>
  </r>
  <r>
    <x v="130"/>
    <s v="Kunal Sharma"/>
    <n v="73"/>
    <x v="0"/>
    <x v="2"/>
    <s v="Dr. Sneha"/>
    <d v="2025-01-31T00:00:00"/>
    <s v="Chest Pain"/>
    <n v="12836"/>
    <n v="12"/>
    <x v="1"/>
    <x v="1"/>
  </r>
  <r>
    <x v="131"/>
    <s v="Yusuf Khan"/>
    <n v="25"/>
    <x v="0"/>
    <x v="5"/>
    <s v="Dr. Raj"/>
    <d v="2025-01-12T00:00:00"/>
    <s v="Stroke"/>
    <n v="77619"/>
    <n v="6"/>
    <x v="1"/>
    <x v="1"/>
  </r>
  <r>
    <x v="132"/>
    <s v="Kunal Sharma"/>
    <n v="48"/>
    <x v="1"/>
    <x v="0"/>
    <s v="Dr. Vivek"/>
    <d v="2025-01-20T00:00:00"/>
    <s v="Breast Cancer"/>
    <n v="80964"/>
    <n v="3"/>
    <x v="0"/>
    <x v="0"/>
  </r>
  <r>
    <x v="133"/>
    <s v="Ritik Soni"/>
    <n v="59"/>
    <x v="0"/>
    <x v="3"/>
    <s v="Dr. Nidhi"/>
    <d v="2025-01-04T00:00:00"/>
    <s v="Lung Cancer"/>
    <n v="6943"/>
    <n v="0"/>
    <x v="1"/>
    <x v="2"/>
  </r>
  <r>
    <x v="134"/>
    <s v="Arif Shaikh"/>
    <n v="33"/>
    <x v="1"/>
    <x v="4"/>
    <s v="Dr. Arjun"/>
    <d v="2025-01-13T00:00:00"/>
    <s v="Diabetes"/>
    <n v="49629"/>
    <n v="10"/>
    <x v="1"/>
    <x v="0"/>
  </r>
  <r>
    <x v="135"/>
    <s v="Simran Patel"/>
    <n v="74"/>
    <x v="0"/>
    <x v="0"/>
    <s v="Dr. Vivek"/>
    <d v="2025-01-21T00:00:00"/>
    <s v="PCOD"/>
    <n v="110273"/>
    <n v="7"/>
    <x v="1"/>
    <x v="2"/>
  </r>
  <r>
    <x v="136"/>
    <s v="Sadiq Qureshi"/>
    <n v="31"/>
    <x v="0"/>
    <x v="4"/>
    <s v="Dr. Arjun"/>
    <d v="2025-01-15T00:00:00"/>
    <s v="Arrhythmia"/>
    <n v="113125"/>
    <n v="5"/>
    <x v="0"/>
    <x v="0"/>
  </r>
  <r>
    <x v="137"/>
    <s v="Yusuf Khan"/>
    <n v="75"/>
    <x v="0"/>
    <x v="5"/>
    <s v="Dr. Raj"/>
    <d v="2025-01-02T00:00:00"/>
    <s v="Pregnancy Check"/>
    <n v="37160"/>
    <n v="3"/>
    <x v="0"/>
    <x v="2"/>
  </r>
  <r>
    <x v="138"/>
    <s v="Sana Ali"/>
    <n v="59"/>
    <x v="1"/>
    <x v="4"/>
    <s v="Dr. Arjun"/>
    <d v="2025-01-02T00:00:00"/>
    <s v="Breast Cancer"/>
    <n v="32925"/>
    <n v="2"/>
    <x v="0"/>
    <x v="1"/>
  </r>
  <r>
    <x v="139"/>
    <s v="Sana Ali"/>
    <n v="55"/>
    <x v="1"/>
    <x v="1"/>
    <s v="Dr. Dev"/>
    <d v="2025-01-27T00:00:00"/>
    <s v="Arrhythmia"/>
    <n v="44064"/>
    <n v="12"/>
    <x v="0"/>
    <x v="0"/>
  </r>
  <r>
    <x v="140"/>
    <s v="Farheen Syed"/>
    <n v="72"/>
    <x v="1"/>
    <x v="4"/>
    <s v="Dr. Arjun"/>
    <d v="2025-01-05T00:00:00"/>
    <s v="Stroke"/>
    <n v="105662"/>
    <n v="2"/>
    <x v="0"/>
    <x v="0"/>
  </r>
  <r>
    <x v="141"/>
    <s v="Simran Patel"/>
    <n v="18"/>
    <x v="0"/>
    <x v="4"/>
    <s v="Dr. Arjun"/>
    <d v="2025-01-26T00:00:00"/>
    <s v="Arrhythmia"/>
    <n v="78182"/>
    <n v="5"/>
    <x v="0"/>
    <x v="1"/>
  </r>
  <r>
    <x v="142"/>
    <s v="Rohan Verma"/>
    <n v="26"/>
    <x v="0"/>
    <x v="5"/>
    <s v="Dr. Raj"/>
    <d v="2025-01-17T00:00:00"/>
    <s v="PCOD"/>
    <n v="98735"/>
    <n v="1"/>
    <x v="1"/>
    <x v="2"/>
  </r>
  <r>
    <x v="143"/>
    <s v="Pooja Gupta"/>
    <n v="55"/>
    <x v="1"/>
    <x v="5"/>
    <s v="Dr. Raj"/>
    <d v="2025-01-15T00:00:00"/>
    <s v="Kidney Stone"/>
    <n v="30038"/>
    <n v="9"/>
    <x v="0"/>
    <x v="0"/>
  </r>
  <r>
    <x v="144"/>
    <s v="Pooja Gupta"/>
    <n v="37"/>
    <x v="0"/>
    <x v="0"/>
    <s v="Dr. Vivek"/>
    <d v="2025-01-21T00:00:00"/>
    <s v="Hypertension"/>
    <n v="8972"/>
    <n v="7"/>
    <x v="1"/>
    <x v="2"/>
  </r>
  <r>
    <x v="145"/>
    <s v="Arif Shaikh"/>
    <n v="49"/>
    <x v="0"/>
    <x v="0"/>
    <s v="Dr. Vivek"/>
    <d v="2025-01-03T00:00:00"/>
    <s v="Fracture"/>
    <n v="43219"/>
    <n v="9"/>
    <x v="0"/>
    <x v="1"/>
  </r>
  <r>
    <x v="146"/>
    <s v="Farheen Syed"/>
    <n v="57"/>
    <x v="0"/>
    <x v="2"/>
    <s v="Dr. Sneha"/>
    <d v="2025-01-13T00:00:00"/>
    <s v="Kidney Stone"/>
    <n v="39652"/>
    <n v="7"/>
    <x v="1"/>
    <x v="1"/>
  </r>
  <r>
    <x v="147"/>
    <s v="Arif Shaikh"/>
    <n v="72"/>
    <x v="1"/>
    <x v="0"/>
    <s v="Dr. Vivek"/>
    <d v="2025-01-14T00:00:00"/>
    <s v="Diabetes"/>
    <n v="117403"/>
    <n v="3"/>
    <x v="1"/>
    <x v="2"/>
  </r>
  <r>
    <x v="148"/>
    <s v="Neha Sharma"/>
    <n v="44"/>
    <x v="1"/>
    <x v="3"/>
    <s v="Dr. Nidhi"/>
    <d v="2025-01-11T00:00:00"/>
    <s v="Infection"/>
    <n v="41963"/>
    <n v="10"/>
    <x v="1"/>
    <x v="2"/>
  </r>
  <r>
    <x v="149"/>
    <s v="Rehan Sheikh"/>
    <n v="22"/>
    <x v="1"/>
    <x v="2"/>
    <s v="Dr. Sneha"/>
    <d v="2025-01-27T00:00:00"/>
    <s v="Fracture"/>
    <n v="13219"/>
    <n v="6"/>
    <x v="0"/>
    <x v="0"/>
  </r>
  <r>
    <x v="150"/>
    <s v="Sadiq Qureshi"/>
    <n v="69"/>
    <x v="1"/>
    <x v="0"/>
    <s v="Dr. Vivek"/>
    <d v="2025-01-18T00:00:00"/>
    <s v="Migraine"/>
    <n v="77869"/>
    <n v="8"/>
    <x v="1"/>
    <x v="0"/>
  </r>
  <r>
    <x v="151"/>
    <s v="Imran Ansari"/>
    <n v="40"/>
    <x v="0"/>
    <x v="4"/>
    <s v="Dr. Arjun"/>
    <d v="2025-01-28T00:00:00"/>
    <s v="Migraine"/>
    <n v="38700"/>
    <n v="9"/>
    <x v="1"/>
    <x v="2"/>
  </r>
  <r>
    <x v="152"/>
    <s v="Sara Shaikh"/>
    <n v="50"/>
    <x v="1"/>
    <x v="4"/>
    <s v="Dr. Arjun"/>
    <d v="2025-01-05T00:00:00"/>
    <s v="Asthma"/>
    <n v="30392"/>
    <n v="1"/>
    <x v="1"/>
    <x v="0"/>
  </r>
  <r>
    <x v="153"/>
    <s v="Arif Shaikh"/>
    <n v="66"/>
    <x v="0"/>
    <x v="5"/>
    <s v="Dr. Raj"/>
    <d v="2025-01-19T00:00:00"/>
    <s v="Arrhythmia"/>
    <n v="106804"/>
    <n v="6"/>
    <x v="0"/>
    <x v="0"/>
  </r>
  <r>
    <x v="154"/>
    <s v="Farheen Syed"/>
    <n v="19"/>
    <x v="1"/>
    <x v="0"/>
    <s v="Dr. Vivek"/>
    <d v="2025-01-09T00:00:00"/>
    <s v="Fever"/>
    <n v="45541"/>
    <n v="5"/>
    <x v="0"/>
    <x v="1"/>
  </r>
  <r>
    <x v="155"/>
    <s v="Sara Shaikh"/>
    <n v="60"/>
    <x v="0"/>
    <x v="2"/>
    <s v="Dr. Sneha"/>
    <d v="2025-01-03T00:00:00"/>
    <s v="Lung Cancer"/>
    <n v="98120"/>
    <n v="10"/>
    <x v="0"/>
    <x v="1"/>
  </r>
  <r>
    <x v="156"/>
    <s v="Pooja Gupta"/>
    <n v="31"/>
    <x v="0"/>
    <x v="0"/>
    <s v="Dr. Vivek"/>
    <d v="2025-01-14T00:00:00"/>
    <s v="Diabetes"/>
    <n v="45681"/>
    <n v="2"/>
    <x v="1"/>
    <x v="2"/>
  </r>
  <r>
    <x v="157"/>
    <s v="Anjali Mehta"/>
    <n v="67"/>
    <x v="1"/>
    <x v="0"/>
    <s v="Dr. Vivek"/>
    <d v="2025-01-29T00:00:00"/>
    <s v="Migraine"/>
    <n v="21392"/>
    <n v="2"/>
    <x v="0"/>
    <x v="0"/>
  </r>
  <r>
    <x v="158"/>
    <s v="Farheen Syed"/>
    <n v="46"/>
    <x v="0"/>
    <x v="4"/>
    <s v="Dr. Arjun"/>
    <d v="2025-01-16T00:00:00"/>
    <s v="Diabetes"/>
    <n v="55287"/>
    <n v="4"/>
    <x v="0"/>
    <x v="0"/>
  </r>
  <r>
    <x v="159"/>
    <s v="Sadiq Qureshi"/>
    <n v="45"/>
    <x v="1"/>
    <x v="4"/>
    <s v="Dr. Arjun"/>
    <d v="2025-01-10T00:00:00"/>
    <s v="Asthma"/>
    <n v="70066"/>
    <n v="10"/>
    <x v="1"/>
    <x v="1"/>
  </r>
  <r>
    <x v="160"/>
    <s v="Neha Sharma"/>
    <n v="56"/>
    <x v="1"/>
    <x v="2"/>
    <s v="Dr. Sneha"/>
    <d v="2025-01-01T00:00:00"/>
    <s v="Back Pain"/>
    <n v="40507"/>
    <n v="3"/>
    <x v="0"/>
    <x v="2"/>
  </r>
  <r>
    <x v="161"/>
    <s v="Anjali Mehta"/>
    <n v="25"/>
    <x v="1"/>
    <x v="5"/>
    <s v="Dr. Raj"/>
    <d v="2025-01-16T00:00:00"/>
    <s v="Infection"/>
    <n v="24028"/>
    <n v="2"/>
    <x v="1"/>
    <x v="0"/>
  </r>
  <r>
    <x v="162"/>
    <s v="Kunal Sharma"/>
    <n v="50"/>
    <x v="0"/>
    <x v="0"/>
    <s v="Dr. Vivek"/>
    <d v="2025-01-03T00:00:00"/>
    <s v="Pregnancy Check"/>
    <n v="113953"/>
    <n v="11"/>
    <x v="0"/>
    <x v="2"/>
  </r>
  <r>
    <x v="163"/>
    <s v="Divya Rao"/>
    <n v="76"/>
    <x v="1"/>
    <x v="4"/>
    <s v="Dr. Arjun"/>
    <d v="2025-01-28T00:00:00"/>
    <s v="Breast Cancer"/>
    <n v="76465"/>
    <n v="6"/>
    <x v="1"/>
    <x v="0"/>
  </r>
  <r>
    <x v="164"/>
    <s v="Imran Ansari"/>
    <n v="36"/>
    <x v="1"/>
    <x v="0"/>
    <s v="Dr. Vivek"/>
    <d v="2025-01-13T00:00:00"/>
    <s v="Hypertension"/>
    <n v="43568"/>
    <n v="2"/>
    <x v="1"/>
    <x v="0"/>
  </r>
  <r>
    <x v="165"/>
    <s v="Meera Singh"/>
    <n v="45"/>
    <x v="1"/>
    <x v="5"/>
    <s v="Dr. Raj"/>
    <d v="2025-01-08T00:00:00"/>
    <s v="Infection"/>
    <n v="78184"/>
    <n v="6"/>
    <x v="0"/>
    <x v="2"/>
  </r>
  <r>
    <x v="166"/>
    <s v="Anjali Mehta"/>
    <n v="32"/>
    <x v="0"/>
    <x v="5"/>
    <s v="Dr. Raj"/>
    <d v="2025-01-25T00:00:00"/>
    <s v="Flu"/>
    <n v="11011"/>
    <n v="8"/>
    <x v="0"/>
    <x v="0"/>
  </r>
  <r>
    <x v="167"/>
    <s v="Sana Ali"/>
    <n v="75"/>
    <x v="0"/>
    <x v="1"/>
    <s v="Dr. Dev"/>
    <d v="2025-01-12T00:00:00"/>
    <s v="Lung Cancer"/>
    <n v="31968"/>
    <n v="1"/>
    <x v="0"/>
    <x v="2"/>
  </r>
  <r>
    <x v="168"/>
    <s v="Vikram Rao"/>
    <n v="56"/>
    <x v="1"/>
    <x v="2"/>
    <s v="Dr. Sneha"/>
    <d v="2025-01-25T00:00:00"/>
    <s v="Fracture"/>
    <n v="24218"/>
    <n v="12"/>
    <x v="1"/>
    <x v="2"/>
  </r>
  <r>
    <x v="169"/>
    <s v="Sara Shaikh"/>
    <n v="46"/>
    <x v="0"/>
    <x v="1"/>
    <s v="Dr. Dev"/>
    <d v="2025-01-28T00:00:00"/>
    <s v="Breast Cancer"/>
    <n v="20786"/>
    <n v="7"/>
    <x v="0"/>
    <x v="2"/>
  </r>
  <r>
    <x v="170"/>
    <s v="Ritik Soni"/>
    <n v="68"/>
    <x v="0"/>
    <x v="3"/>
    <s v="Dr. Nidhi"/>
    <d v="2025-01-19T00:00:00"/>
    <s v="Migraine"/>
    <n v="47129"/>
    <n v="8"/>
    <x v="0"/>
    <x v="2"/>
  </r>
  <r>
    <x v="171"/>
    <s v="Divya Rao"/>
    <n v="20"/>
    <x v="1"/>
    <x v="3"/>
    <s v="Dr. Nidhi"/>
    <d v="2025-01-12T00:00:00"/>
    <s v="Fever"/>
    <n v="11057"/>
    <n v="10"/>
    <x v="0"/>
    <x v="0"/>
  </r>
  <r>
    <x v="172"/>
    <s v="Pooja Gupta"/>
    <n v="42"/>
    <x v="0"/>
    <x v="1"/>
    <s v="Dr. Dev"/>
    <d v="2025-01-19T00:00:00"/>
    <s v="Migraine"/>
    <n v="59947"/>
    <n v="12"/>
    <x v="0"/>
    <x v="2"/>
  </r>
  <r>
    <x v="173"/>
    <s v="Rehan Sheikh"/>
    <n v="50"/>
    <x v="1"/>
    <x v="1"/>
    <s v="Dr. Dev"/>
    <d v="2025-01-31T00:00:00"/>
    <s v="Migraine"/>
    <n v="60050"/>
    <n v="1"/>
    <x v="1"/>
    <x v="0"/>
  </r>
  <r>
    <x v="174"/>
    <s v="Pooja Gupta"/>
    <n v="59"/>
    <x v="1"/>
    <x v="4"/>
    <s v="Dr. Arjun"/>
    <d v="2025-01-02T00:00:00"/>
    <s v="Arrhythmia"/>
    <n v="93749"/>
    <n v="7"/>
    <x v="1"/>
    <x v="0"/>
  </r>
  <r>
    <x v="175"/>
    <s v="Aman Kumar"/>
    <n v="28"/>
    <x v="0"/>
    <x v="1"/>
    <s v="Dr. Dev"/>
    <d v="2025-01-12T00:00:00"/>
    <s v="Fever"/>
    <n v="51779"/>
    <n v="6"/>
    <x v="1"/>
    <x v="0"/>
  </r>
  <r>
    <x v="176"/>
    <s v="Rohan Verma"/>
    <n v="68"/>
    <x v="0"/>
    <x v="1"/>
    <s v="Dr. Dev"/>
    <d v="2025-01-03T00:00:00"/>
    <s v="Breast Cancer"/>
    <n v="13387"/>
    <n v="8"/>
    <x v="1"/>
    <x v="2"/>
  </r>
  <r>
    <x v="177"/>
    <s v="Aman Kumar"/>
    <n v="73"/>
    <x v="1"/>
    <x v="5"/>
    <s v="Dr. Raj"/>
    <d v="2025-01-11T00:00:00"/>
    <s v="Fracture"/>
    <n v="77380"/>
    <n v="10"/>
    <x v="0"/>
    <x v="2"/>
  </r>
  <r>
    <x v="178"/>
    <s v="Neha Sharma"/>
    <n v="26"/>
    <x v="1"/>
    <x v="5"/>
    <s v="Dr. Raj"/>
    <d v="2025-01-10T00:00:00"/>
    <s v="Pregnancy Check"/>
    <n v="85343"/>
    <n v="12"/>
    <x v="1"/>
    <x v="1"/>
  </r>
  <r>
    <x v="179"/>
    <s v="Pooja Gupta"/>
    <n v="23"/>
    <x v="0"/>
    <x v="0"/>
    <s v="Dr. Vivek"/>
    <d v="2025-01-17T00:00:00"/>
    <s v="Chest Pain"/>
    <n v="3389"/>
    <n v="5"/>
    <x v="1"/>
    <x v="1"/>
  </r>
  <r>
    <x v="180"/>
    <s v="Anjali Mehta"/>
    <n v="78"/>
    <x v="0"/>
    <x v="2"/>
    <s v="Dr. Sneha"/>
    <d v="2025-01-07T00:00:00"/>
    <s v="Arrhythmia"/>
    <n v="19030"/>
    <n v="2"/>
    <x v="0"/>
    <x v="2"/>
  </r>
  <r>
    <x v="181"/>
    <s v="Pooja Gupta"/>
    <n v="67"/>
    <x v="1"/>
    <x v="4"/>
    <s v="Dr. Arjun"/>
    <d v="2025-01-22T00:00:00"/>
    <s v="Breast Cancer"/>
    <n v="115870"/>
    <n v="12"/>
    <x v="0"/>
    <x v="0"/>
  </r>
  <r>
    <x v="182"/>
    <s v="Simran Patel"/>
    <n v="28"/>
    <x v="1"/>
    <x v="3"/>
    <s v="Dr. Nidhi"/>
    <d v="2025-01-27T00:00:00"/>
    <s v="Flu"/>
    <n v="95526"/>
    <n v="7"/>
    <x v="0"/>
    <x v="2"/>
  </r>
  <r>
    <x v="183"/>
    <s v="Kunal Sharma"/>
    <n v="80"/>
    <x v="0"/>
    <x v="5"/>
    <s v="Dr. Raj"/>
    <d v="2025-01-20T00:00:00"/>
    <s v="Fever"/>
    <n v="99617"/>
    <n v="11"/>
    <x v="1"/>
    <x v="1"/>
  </r>
  <r>
    <x v="184"/>
    <s v="Kunal Sharma"/>
    <n v="37"/>
    <x v="0"/>
    <x v="1"/>
    <s v="Dr. Dev"/>
    <d v="2025-01-29T00:00:00"/>
    <s v="Back Pain"/>
    <n v="49213"/>
    <n v="10"/>
    <x v="1"/>
    <x v="2"/>
  </r>
  <r>
    <x v="185"/>
    <s v="Neha Sharma"/>
    <n v="50"/>
    <x v="0"/>
    <x v="5"/>
    <s v="Dr. Raj"/>
    <d v="2025-01-31T00:00:00"/>
    <s v="Flu"/>
    <n v="108071"/>
    <n v="3"/>
    <x v="0"/>
    <x v="2"/>
  </r>
  <r>
    <x v="186"/>
    <s v="Rehan Sheikh"/>
    <n v="73"/>
    <x v="0"/>
    <x v="4"/>
    <s v="Dr. Arjun"/>
    <d v="2025-01-18T00:00:00"/>
    <s v="PCOD"/>
    <n v="94244"/>
    <n v="8"/>
    <x v="0"/>
    <x v="2"/>
  </r>
  <r>
    <x v="187"/>
    <s v="Vikram Rao"/>
    <n v="35"/>
    <x v="0"/>
    <x v="4"/>
    <s v="Dr. Arjun"/>
    <d v="2025-01-29T00:00:00"/>
    <s v="Kidney Stone"/>
    <n v="20313"/>
    <n v="6"/>
    <x v="0"/>
    <x v="1"/>
  </r>
  <r>
    <x v="188"/>
    <s v="Sadiq Qureshi"/>
    <n v="77"/>
    <x v="1"/>
    <x v="3"/>
    <s v="Dr. Nidhi"/>
    <d v="2025-01-14T00:00:00"/>
    <s v="Migraine"/>
    <n v="52964"/>
    <n v="8"/>
    <x v="1"/>
    <x v="1"/>
  </r>
  <r>
    <x v="189"/>
    <s v="Meera Singh"/>
    <n v="41"/>
    <x v="1"/>
    <x v="3"/>
    <s v="Dr. Nidhi"/>
    <d v="2025-01-01T00:00:00"/>
    <s v="Breast Cancer"/>
    <n v="13987"/>
    <n v="11"/>
    <x v="1"/>
    <x v="1"/>
  </r>
  <r>
    <x v="190"/>
    <s v="Rohan Verma"/>
    <n v="36"/>
    <x v="0"/>
    <x v="2"/>
    <s v="Dr. Sneha"/>
    <d v="2025-01-23T00:00:00"/>
    <s v="Lung Cancer"/>
    <n v="100462"/>
    <n v="11"/>
    <x v="1"/>
    <x v="2"/>
  </r>
  <r>
    <x v="191"/>
    <s v="Aisha Khan"/>
    <n v="75"/>
    <x v="1"/>
    <x v="1"/>
    <s v="Dr. Dev"/>
    <d v="2025-01-01T00:00:00"/>
    <s v="Stroke"/>
    <n v="29266"/>
    <n v="2"/>
    <x v="1"/>
    <x v="1"/>
  </r>
  <r>
    <x v="192"/>
    <s v="Kunal Sharma"/>
    <n v="37"/>
    <x v="1"/>
    <x v="5"/>
    <s v="Dr. Raj"/>
    <d v="2025-01-02T00:00:00"/>
    <s v="Arrhythmia"/>
    <n v="56027"/>
    <n v="10"/>
    <x v="1"/>
    <x v="1"/>
  </r>
  <r>
    <x v="193"/>
    <s v="Rehan Sheikh"/>
    <n v="56"/>
    <x v="1"/>
    <x v="4"/>
    <s v="Dr. Arjun"/>
    <d v="2025-01-21T00:00:00"/>
    <s v="Kidney Stone"/>
    <n v="76372"/>
    <n v="3"/>
    <x v="0"/>
    <x v="2"/>
  </r>
  <r>
    <x v="194"/>
    <s v="Aisha Khan"/>
    <n v="57"/>
    <x v="0"/>
    <x v="3"/>
    <s v="Dr. Nidhi"/>
    <d v="2025-01-08T00:00:00"/>
    <s v="Infection"/>
    <n v="25551"/>
    <n v="10"/>
    <x v="0"/>
    <x v="0"/>
  </r>
  <r>
    <x v="195"/>
    <s v="Meera Singh"/>
    <n v="79"/>
    <x v="1"/>
    <x v="5"/>
    <s v="Dr. Raj"/>
    <d v="2025-01-13T00:00:00"/>
    <s v="Asthma"/>
    <n v="6706"/>
    <n v="10"/>
    <x v="1"/>
    <x v="2"/>
  </r>
  <r>
    <x v="196"/>
    <s v="Aisha Khan"/>
    <n v="40"/>
    <x v="1"/>
    <x v="5"/>
    <s v="Dr. Raj"/>
    <d v="2025-01-12T00:00:00"/>
    <s v="Arrhythmia"/>
    <n v="97068"/>
    <n v="10"/>
    <x v="0"/>
    <x v="0"/>
  </r>
  <r>
    <x v="197"/>
    <s v="Anjali Mehta"/>
    <n v="26"/>
    <x v="1"/>
    <x v="0"/>
    <s v="Dr. Vivek"/>
    <d v="2025-01-12T00:00:00"/>
    <s v="Breast Cancer"/>
    <n v="107628"/>
    <n v="10"/>
    <x v="0"/>
    <x v="0"/>
  </r>
  <r>
    <x v="198"/>
    <s v="Rehan Sheikh"/>
    <n v="58"/>
    <x v="1"/>
    <x v="3"/>
    <s v="Dr. Nidhi"/>
    <d v="2025-01-26T00:00:00"/>
    <s v="Lung Cancer"/>
    <n v="9270"/>
    <n v="11"/>
    <x v="1"/>
    <x v="1"/>
  </r>
  <r>
    <x v="199"/>
    <s v="Sana Ali"/>
    <n v="20"/>
    <x v="1"/>
    <x v="5"/>
    <s v="Dr. Raj"/>
    <d v="2025-01-29T00:00:00"/>
    <s v="Migraine"/>
    <n v="42365"/>
    <n v="4"/>
    <x v="1"/>
    <x v="0"/>
  </r>
  <r>
    <x v="200"/>
    <s v="Farheen Syed"/>
    <n v="20"/>
    <x v="1"/>
    <x v="3"/>
    <s v="Dr. Nidhi"/>
    <d v="2025-01-10T00:00:00"/>
    <s v="Chest Pain"/>
    <n v="114002"/>
    <n v="12"/>
    <x v="0"/>
    <x v="0"/>
  </r>
  <r>
    <x v="201"/>
    <s v="Farheen Syed"/>
    <n v="25"/>
    <x v="0"/>
    <x v="5"/>
    <s v="Dr. Raj"/>
    <d v="2025-01-14T00:00:00"/>
    <s v="Pregnancy Check"/>
    <n v="98426"/>
    <n v="7"/>
    <x v="1"/>
    <x v="2"/>
  </r>
  <r>
    <x v="202"/>
    <s v="Rehan Sheikh"/>
    <n v="62"/>
    <x v="0"/>
    <x v="2"/>
    <s v="Dr. Sneha"/>
    <d v="2025-01-12T00:00:00"/>
    <s v="Kidney Stone"/>
    <n v="35959"/>
    <n v="12"/>
    <x v="0"/>
    <x v="0"/>
  </r>
  <r>
    <x v="203"/>
    <s v="Meera Singh"/>
    <n v="45"/>
    <x v="1"/>
    <x v="3"/>
    <s v="Dr. Nidhi"/>
    <d v="2025-01-18T00:00:00"/>
    <s v="Fever"/>
    <n v="43101"/>
    <n v="1"/>
    <x v="0"/>
    <x v="2"/>
  </r>
  <r>
    <x v="204"/>
    <s v="Ritik Soni"/>
    <n v="37"/>
    <x v="0"/>
    <x v="0"/>
    <s v="Dr. Vivek"/>
    <d v="2025-01-20T00:00:00"/>
    <s v="Infection"/>
    <n v="22842"/>
    <n v="11"/>
    <x v="1"/>
    <x v="2"/>
  </r>
  <r>
    <x v="205"/>
    <s v="Rohan Verma"/>
    <n v="64"/>
    <x v="0"/>
    <x v="3"/>
    <s v="Dr. Nidhi"/>
    <d v="2025-01-20T00:00:00"/>
    <s v="Infection"/>
    <n v="36986"/>
    <n v="10"/>
    <x v="0"/>
    <x v="1"/>
  </r>
  <r>
    <x v="206"/>
    <s v="Neha Sharma"/>
    <n v="41"/>
    <x v="1"/>
    <x v="0"/>
    <s v="Dr. Vivek"/>
    <d v="2025-01-31T00:00:00"/>
    <s v="Hypertension"/>
    <n v="19714"/>
    <n v="9"/>
    <x v="1"/>
    <x v="1"/>
  </r>
  <r>
    <x v="207"/>
    <s v="Meera Singh"/>
    <n v="33"/>
    <x v="0"/>
    <x v="2"/>
    <s v="Dr. Sneha"/>
    <d v="2025-01-12T00:00:00"/>
    <s v="Pregnancy Check"/>
    <n v="75349"/>
    <n v="0"/>
    <x v="0"/>
    <x v="0"/>
  </r>
  <r>
    <x v="208"/>
    <s v="Sadiq Qureshi"/>
    <n v="41"/>
    <x v="0"/>
    <x v="3"/>
    <s v="Dr. Nidhi"/>
    <d v="2025-01-25T00:00:00"/>
    <s v="Fracture"/>
    <n v="76225"/>
    <n v="2"/>
    <x v="1"/>
    <x v="2"/>
  </r>
  <r>
    <x v="209"/>
    <s v="Farheen Syed"/>
    <n v="33"/>
    <x v="1"/>
    <x v="5"/>
    <s v="Dr. Raj"/>
    <d v="2025-01-01T00:00:00"/>
    <s v="Flu"/>
    <n v="66410"/>
    <n v="8"/>
    <x v="1"/>
    <x v="0"/>
  </r>
  <r>
    <x v="210"/>
    <s v="Farheen Syed"/>
    <n v="67"/>
    <x v="0"/>
    <x v="4"/>
    <s v="Dr. Arjun"/>
    <d v="2025-01-23T00:00:00"/>
    <s v="Diabetes"/>
    <n v="29124"/>
    <n v="9"/>
    <x v="1"/>
    <x v="0"/>
  </r>
  <r>
    <x v="211"/>
    <s v="Sana Ali"/>
    <n v="25"/>
    <x v="1"/>
    <x v="3"/>
    <s v="Dr. Nidhi"/>
    <d v="2025-01-28T00:00:00"/>
    <s v="Fracture"/>
    <n v="60250"/>
    <n v="2"/>
    <x v="1"/>
    <x v="1"/>
  </r>
  <r>
    <x v="212"/>
    <s v="Anjali Mehta"/>
    <n v="60"/>
    <x v="0"/>
    <x v="0"/>
    <s v="Dr. Vivek"/>
    <d v="2025-01-23T00:00:00"/>
    <s v="Fracture"/>
    <n v="73089"/>
    <n v="8"/>
    <x v="1"/>
    <x v="2"/>
  </r>
  <r>
    <x v="213"/>
    <s v="Vikram Rao"/>
    <n v="68"/>
    <x v="0"/>
    <x v="2"/>
    <s v="Dr. Sneha"/>
    <d v="2025-01-17T00:00:00"/>
    <s v="Arrhythmia"/>
    <n v="16907"/>
    <n v="3"/>
    <x v="0"/>
    <x v="1"/>
  </r>
  <r>
    <x v="214"/>
    <s v="Aisha Khan"/>
    <n v="41"/>
    <x v="0"/>
    <x v="3"/>
    <s v="Dr. Nidhi"/>
    <d v="2025-01-15T00:00:00"/>
    <s v="Lung Cancer"/>
    <n v="81209"/>
    <n v="1"/>
    <x v="0"/>
    <x v="2"/>
  </r>
  <r>
    <x v="215"/>
    <s v="Rehan Sheikh"/>
    <n v="51"/>
    <x v="0"/>
    <x v="3"/>
    <s v="Dr. Nidhi"/>
    <d v="2025-01-25T00:00:00"/>
    <s v="Infection"/>
    <n v="108916"/>
    <n v="9"/>
    <x v="0"/>
    <x v="1"/>
  </r>
  <r>
    <x v="216"/>
    <s v="Meera Singh"/>
    <n v="46"/>
    <x v="0"/>
    <x v="5"/>
    <s v="Dr. Raj"/>
    <d v="2025-01-22T00:00:00"/>
    <s v="Kidney Stone"/>
    <n v="46156"/>
    <n v="2"/>
    <x v="0"/>
    <x v="1"/>
  </r>
  <r>
    <x v="217"/>
    <s v="Pooja Gupta"/>
    <n v="76"/>
    <x v="1"/>
    <x v="3"/>
    <s v="Dr. Nidhi"/>
    <d v="2025-01-27T00:00:00"/>
    <s v="PCOD"/>
    <n v="68908"/>
    <n v="2"/>
    <x v="1"/>
    <x v="1"/>
  </r>
  <r>
    <x v="218"/>
    <s v="Anjali Mehta"/>
    <n v="77"/>
    <x v="1"/>
    <x v="2"/>
    <s v="Dr. Sneha"/>
    <d v="2025-01-12T00:00:00"/>
    <s v="Kidney Stone"/>
    <n v="118299"/>
    <n v="4"/>
    <x v="0"/>
    <x v="2"/>
  </r>
  <r>
    <x v="219"/>
    <s v="Yusuf Khan"/>
    <n v="35"/>
    <x v="1"/>
    <x v="2"/>
    <s v="Dr. Sneha"/>
    <d v="2025-01-21T00:00:00"/>
    <s v="Fever"/>
    <n v="81534"/>
    <n v="8"/>
    <x v="0"/>
    <x v="0"/>
  </r>
  <r>
    <x v="220"/>
    <s v="Vikram Rao"/>
    <n v="55"/>
    <x v="1"/>
    <x v="0"/>
    <s v="Dr. Vivek"/>
    <d v="2025-01-06T00:00:00"/>
    <s v="Breast Cancer"/>
    <n v="111432"/>
    <n v="9"/>
    <x v="0"/>
    <x v="1"/>
  </r>
  <r>
    <x v="221"/>
    <s v="Rohan Verma"/>
    <n v="78"/>
    <x v="0"/>
    <x v="4"/>
    <s v="Dr. Arjun"/>
    <d v="2025-01-21T00:00:00"/>
    <s v="Back Pain"/>
    <n v="101526"/>
    <n v="9"/>
    <x v="1"/>
    <x v="0"/>
  </r>
  <r>
    <x v="222"/>
    <s v="Aisha Khan"/>
    <n v="49"/>
    <x v="0"/>
    <x v="0"/>
    <s v="Dr. Vivek"/>
    <d v="2025-01-21T00:00:00"/>
    <s v="Fever"/>
    <n v="64300"/>
    <n v="3"/>
    <x v="1"/>
    <x v="2"/>
  </r>
  <r>
    <x v="223"/>
    <s v="Meera Singh"/>
    <n v="62"/>
    <x v="1"/>
    <x v="3"/>
    <s v="Dr. Nidhi"/>
    <d v="2025-01-06T00:00:00"/>
    <s v="Diabetes"/>
    <n v="55476"/>
    <n v="7"/>
    <x v="1"/>
    <x v="1"/>
  </r>
  <r>
    <x v="224"/>
    <s v="Aman Kumar"/>
    <n v="27"/>
    <x v="0"/>
    <x v="5"/>
    <s v="Dr. Raj"/>
    <d v="2025-01-28T00:00:00"/>
    <s v="Breast Cancer"/>
    <n v="97233"/>
    <n v="5"/>
    <x v="1"/>
    <x v="1"/>
  </r>
  <r>
    <x v="225"/>
    <s v="Pooja Gupta"/>
    <n v="53"/>
    <x v="1"/>
    <x v="5"/>
    <s v="Dr. Raj"/>
    <d v="2025-01-11T00:00:00"/>
    <s v="Arrhythmia"/>
    <n v="62141"/>
    <n v="1"/>
    <x v="1"/>
    <x v="2"/>
  </r>
  <r>
    <x v="226"/>
    <s v="Simran Patel"/>
    <n v="24"/>
    <x v="1"/>
    <x v="2"/>
    <s v="Dr. Sneha"/>
    <d v="2025-01-10T00:00:00"/>
    <s v="Pregnancy Check"/>
    <n v="114267"/>
    <n v="9"/>
    <x v="1"/>
    <x v="1"/>
  </r>
  <r>
    <x v="227"/>
    <s v="Anjali Mehta"/>
    <n v="77"/>
    <x v="0"/>
    <x v="2"/>
    <s v="Dr. Sneha"/>
    <d v="2025-01-07T00:00:00"/>
    <s v="Flu"/>
    <n v="66308"/>
    <n v="8"/>
    <x v="1"/>
    <x v="2"/>
  </r>
  <r>
    <x v="228"/>
    <s v="Rehan Sheikh"/>
    <n v="19"/>
    <x v="1"/>
    <x v="5"/>
    <s v="Dr. Raj"/>
    <d v="2025-01-31T00:00:00"/>
    <s v="Pregnancy Check"/>
    <n v="67249"/>
    <n v="7"/>
    <x v="0"/>
    <x v="1"/>
  </r>
  <r>
    <x v="229"/>
    <s v="Sadiq Qureshi"/>
    <n v="21"/>
    <x v="1"/>
    <x v="1"/>
    <s v="Dr. Dev"/>
    <d v="2025-01-10T00:00:00"/>
    <s v="Asthma"/>
    <n v="79317"/>
    <n v="10"/>
    <x v="1"/>
    <x v="2"/>
  </r>
  <r>
    <x v="230"/>
    <s v="Aisha Khan"/>
    <n v="72"/>
    <x v="1"/>
    <x v="1"/>
    <s v="Dr. Dev"/>
    <d v="2025-01-14T00:00:00"/>
    <s v="Lung Cancer"/>
    <n v="116665"/>
    <n v="4"/>
    <x v="1"/>
    <x v="2"/>
  </r>
  <r>
    <x v="231"/>
    <s v="Rohan Verma"/>
    <n v="43"/>
    <x v="1"/>
    <x v="5"/>
    <s v="Dr. Raj"/>
    <d v="2025-01-19T00:00:00"/>
    <s v="Back Pain"/>
    <n v="48516"/>
    <n v="8"/>
    <x v="1"/>
    <x v="1"/>
  </r>
  <r>
    <x v="232"/>
    <s v="Pooja Gupta"/>
    <n v="46"/>
    <x v="0"/>
    <x v="3"/>
    <s v="Dr. Nidhi"/>
    <d v="2025-01-27T00:00:00"/>
    <s v="PCOD"/>
    <n v="17864"/>
    <n v="1"/>
    <x v="1"/>
    <x v="2"/>
  </r>
  <r>
    <x v="233"/>
    <s v="Yusuf Khan"/>
    <n v="78"/>
    <x v="0"/>
    <x v="5"/>
    <s v="Dr. Raj"/>
    <d v="2025-01-25T00:00:00"/>
    <s v="Lung Cancer"/>
    <n v="27090"/>
    <n v="9"/>
    <x v="1"/>
    <x v="0"/>
  </r>
  <r>
    <x v="234"/>
    <s v="Rohan Verma"/>
    <n v="20"/>
    <x v="1"/>
    <x v="4"/>
    <s v="Dr. Arjun"/>
    <d v="2025-01-23T00:00:00"/>
    <s v="Breast Cancer"/>
    <n v="106377"/>
    <n v="7"/>
    <x v="1"/>
    <x v="1"/>
  </r>
  <r>
    <x v="235"/>
    <s v="Pooja Gupta"/>
    <n v="26"/>
    <x v="0"/>
    <x v="1"/>
    <s v="Dr. Dev"/>
    <d v="2025-01-30T00:00:00"/>
    <s v="Breast Cancer"/>
    <n v="22299"/>
    <n v="6"/>
    <x v="1"/>
    <x v="0"/>
  </r>
  <r>
    <x v="236"/>
    <s v="Pooja Gupta"/>
    <n v="71"/>
    <x v="0"/>
    <x v="5"/>
    <s v="Dr. Raj"/>
    <d v="2025-01-23T00:00:00"/>
    <s v="Fever"/>
    <n v="63245"/>
    <n v="0"/>
    <x v="1"/>
    <x v="2"/>
  </r>
  <r>
    <x v="237"/>
    <s v="Arif Shaikh"/>
    <n v="80"/>
    <x v="0"/>
    <x v="0"/>
    <s v="Dr. Vivek"/>
    <d v="2025-01-19T00:00:00"/>
    <s v="Fever"/>
    <n v="105432"/>
    <n v="11"/>
    <x v="0"/>
    <x v="0"/>
  </r>
  <r>
    <x v="238"/>
    <s v="Farheen Syed"/>
    <n v="79"/>
    <x v="1"/>
    <x v="3"/>
    <s v="Dr. Nidhi"/>
    <d v="2025-01-24T00:00:00"/>
    <s v="Migraine"/>
    <n v="77483"/>
    <n v="7"/>
    <x v="0"/>
    <x v="0"/>
  </r>
  <r>
    <x v="239"/>
    <s v="Aman Kumar"/>
    <n v="67"/>
    <x v="0"/>
    <x v="0"/>
    <s v="Dr. Vivek"/>
    <d v="2025-01-05T00:00:00"/>
    <s v="Arrhythmia"/>
    <n v="5138"/>
    <n v="9"/>
    <x v="0"/>
    <x v="1"/>
  </r>
  <r>
    <x v="240"/>
    <s v="Divya Rao"/>
    <n v="38"/>
    <x v="0"/>
    <x v="4"/>
    <s v="Dr. Arjun"/>
    <d v="2025-01-05T00:00:00"/>
    <s v="Infection"/>
    <n v="91505"/>
    <n v="3"/>
    <x v="1"/>
    <x v="0"/>
  </r>
  <r>
    <x v="241"/>
    <s v="Rehan Sheikh"/>
    <n v="73"/>
    <x v="1"/>
    <x v="1"/>
    <s v="Dr. Dev"/>
    <d v="2025-01-23T00:00:00"/>
    <s v="Lung Cancer"/>
    <n v="68984"/>
    <n v="3"/>
    <x v="1"/>
    <x v="0"/>
  </r>
  <r>
    <x v="242"/>
    <s v="Pooja Gupta"/>
    <n v="42"/>
    <x v="0"/>
    <x v="3"/>
    <s v="Dr. Nidhi"/>
    <d v="2025-01-31T00:00:00"/>
    <s v="Flu"/>
    <n v="61249"/>
    <n v="8"/>
    <x v="1"/>
    <x v="0"/>
  </r>
  <r>
    <x v="243"/>
    <s v="Farheen Syed"/>
    <n v="57"/>
    <x v="0"/>
    <x v="5"/>
    <s v="Dr. Raj"/>
    <d v="2025-01-07T00:00:00"/>
    <s v="Arrhythmia"/>
    <n v="37569"/>
    <n v="8"/>
    <x v="1"/>
    <x v="1"/>
  </r>
  <r>
    <x v="244"/>
    <s v="Ritik Soni"/>
    <n v="63"/>
    <x v="1"/>
    <x v="5"/>
    <s v="Dr. Raj"/>
    <d v="2025-01-23T00:00:00"/>
    <s v="Asthma"/>
    <n v="42555"/>
    <n v="7"/>
    <x v="1"/>
    <x v="0"/>
  </r>
  <r>
    <x v="245"/>
    <s v="Farheen Syed"/>
    <n v="36"/>
    <x v="1"/>
    <x v="0"/>
    <s v="Dr. Vivek"/>
    <d v="2025-01-19T00:00:00"/>
    <s v="Pregnancy Check"/>
    <n v="118409"/>
    <n v="6"/>
    <x v="1"/>
    <x v="1"/>
  </r>
  <r>
    <x v="246"/>
    <s v="Rohan Verma"/>
    <n v="36"/>
    <x v="1"/>
    <x v="5"/>
    <s v="Dr. Raj"/>
    <d v="2025-01-12T00:00:00"/>
    <s v="Diabetes"/>
    <n v="86979"/>
    <n v="4"/>
    <x v="1"/>
    <x v="1"/>
  </r>
  <r>
    <x v="247"/>
    <s v="Yusuf Khan"/>
    <n v="35"/>
    <x v="0"/>
    <x v="2"/>
    <s v="Dr. Sneha"/>
    <d v="2025-01-05T00:00:00"/>
    <s v="PCOD"/>
    <n v="81698"/>
    <n v="11"/>
    <x v="0"/>
    <x v="1"/>
  </r>
  <r>
    <x v="248"/>
    <s v="Pooja Gupta"/>
    <n v="32"/>
    <x v="1"/>
    <x v="4"/>
    <s v="Dr. Arjun"/>
    <d v="2025-01-02T00:00:00"/>
    <s v="PCOD"/>
    <n v="55172"/>
    <n v="5"/>
    <x v="1"/>
    <x v="1"/>
  </r>
  <r>
    <x v="249"/>
    <s v="Simran Patel"/>
    <n v="18"/>
    <x v="1"/>
    <x v="0"/>
    <s v="Dr. Vivek"/>
    <d v="2025-01-14T00:00:00"/>
    <s v="Asthma"/>
    <n v="63580"/>
    <n v="10"/>
    <x v="0"/>
    <x v="2"/>
  </r>
  <r>
    <x v="250"/>
    <s v="Ritik Soni"/>
    <n v="59"/>
    <x v="1"/>
    <x v="5"/>
    <s v="Dr. Raj"/>
    <d v="2025-01-30T00:00:00"/>
    <s v="Fracture"/>
    <n v="86498"/>
    <n v="9"/>
    <x v="0"/>
    <x v="0"/>
  </r>
  <r>
    <x v="251"/>
    <s v="Rohan Verma"/>
    <n v="76"/>
    <x v="1"/>
    <x v="0"/>
    <s v="Dr. Vivek"/>
    <d v="2025-01-14T00:00:00"/>
    <s v="Flu"/>
    <n v="5763"/>
    <n v="6"/>
    <x v="1"/>
    <x v="1"/>
  </r>
  <r>
    <x v="252"/>
    <s v="Ritik Soni"/>
    <n v="74"/>
    <x v="1"/>
    <x v="0"/>
    <s v="Dr. Vivek"/>
    <d v="2025-01-01T00:00:00"/>
    <s v="Fever"/>
    <n v="75443"/>
    <n v="9"/>
    <x v="0"/>
    <x v="2"/>
  </r>
  <r>
    <x v="253"/>
    <s v="Divya Rao"/>
    <n v="59"/>
    <x v="0"/>
    <x v="5"/>
    <s v="Dr. Raj"/>
    <d v="2025-01-29T00:00:00"/>
    <s v="Lung Cancer"/>
    <n v="112550"/>
    <n v="8"/>
    <x v="1"/>
    <x v="2"/>
  </r>
  <r>
    <x v="254"/>
    <s v="Arif Shaikh"/>
    <n v="39"/>
    <x v="1"/>
    <x v="2"/>
    <s v="Dr. Sneha"/>
    <d v="2025-01-24T00:00:00"/>
    <s v="Diabetes"/>
    <n v="85972"/>
    <n v="4"/>
    <x v="0"/>
    <x v="1"/>
  </r>
  <r>
    <x v="255"/>
    <s v="Anjali Mehta"/>
    <n v="68"/>
    <x v="0"/>
    <x v="0"/>
    <s v="Dr. Vivek"/>
    <d v="2025-01-19T00:00:00"/>
    <s v="Back Pain"/>
    <n v="24002"/>
    <n v="9"/>
    <x v="1"/>
    <x v="2"/>
  </r>
  <r>
    <x v="256"/>
    <s v="Anjali Mehta"/>
    <n v="23"/>
    <x v="0"/>
    <x v="1"/>
    <s v="Dr. Dev"/>
    <d v="2025-01-22T00:00:00"/>
    <s v="PCOD"/>
    <n v="25219"/>
    <n v="2"/>
    <x v="1"/>
    <x v="2"/>
  </r>
  <r>
    <x v="257"/>
    <s v="Aisha Khan"/>
    <n v="34"/>
    <x v="0"/>
    <x v="2"/>
    <s v="Dr. Sneha"/>
    <d v="2025-01-08T00:00:00"/>
    <s v="Diabetes"/>
    <n v="99796"/>
    <n v="4"/>
    <x v="1"/>
    <x v="2"/>
  </r>
  <r>
    <x v="258"/>
    <s v="Sara Shaikh"/>
    <n v="18"/>
    <x v="0"/>
    <x v="1"/>
    <s v="Dr. Dev"/>
    <d v="2025-01-21T00:00:00"/>
    <s v="Chest Pain"/>
    <n v="91802"/>
    <n v="3"/>
    <x v="0"/>
    <x v="0"/>
  </r>
  <r>
    <x v="259"/>
    <s v="Divya Rao"/>
    <n v="37"/>
    <x v="1"/>
    <x v="4"/>
    <s v="Dr. Arjun"/>
    <d v="2025-01-13T00:00:00"/>
    <s v="Kidney Stone"/>
    <n v="118324"/>
    <n v="11"/>
    <x v="1"/>
    <x v="0"/>
  </r>
  <r>
    <x v="260"/>
    <s v="Ritik Soni"/>
    <n v="41"/>
    <x v="1"/>
    <x v="4"/>
    <s v="Dr. Arjun"/>
    <d v="2025-01-08T00:00:00"/>
    <s v="Lung Cancer"/>
    <n v="63676"/>
    <n v="2"/>
    <x v="1"/>
    <x v="0"/>
  </r>
  <r>
    <x v="261"/>
    <s v="Sadiq Qureshi"/>
    <n v="44"/>
    <x v="0"/>
    <x v="1"/>
    <s v="Dr. Dev"/>
    <d v="2025-01-25T00:00:00"/>
    <s v="Back Pain"/>
    <n v="100858"/>
    <n v="3"/>
    <x v="0"/>
    <x v="0"/>
  </r>
  <r>
    <x v="262"/>
    <s v="Pooja Gupta"/>
    <n v="63"/>
    <x v="0"/>
    <x v="3"/>
    <s v="Dr. Nidhi"/>
    <d v="2025-01-03T00:00:00"/>
    <s v="PCOD"/>
    <n v="9094"/>
    <n v="8"/>
    <x v="0"/>
    <x v="0"/>
  </r>
  <r>
    <x v="263"/>
    <s v="Simran Patel"/>
    <n v="28"/>
    <x v="0"/>
    <x v="1"/>
    <s v="Dr. Dev"/>
    <d v="2025-01-28T00:00:00"/>
    <s v="Kidney Stone"/>
    <n v="58912"/>
    <n v="1"/>
    <x v="0"/>
    <x v="0"/>
  </r>
  <r>
    <x v="264"/>
    <s v="Rehan Sheikh"/>
    <n v="23"/>
    <x v="0"/>
    <x v="1"/>
    <s v="Dr. Dev"/>
    <d v="2025-01-26T00:00:00"/>
    <s v="Migraine"/>
    <n v="60432"/>
    <n v="2"/>
    <x v="1"/>
    <x v="2"/>
  </r>
  <r>
    <x v="265"/>
    <s v="Rohan Verma"/>
    <n v="53"/>
    <x v="0"/>
    <x v="1"/>
    <s v="Dr. Dev"/>
    <d v="2025-01-22T00:00:00"/>
    <s v="Fever"/>
    <n v="95801"/>
    <n v="0"/>
    <x v="1"/>
    <x v="2"/>
  </r>
  <r>
    <x v="266"/>
    <s v="Sana Ali"/>
    <n v="55"/>
    <x v="1"/>
    <x v="4"/>
    <s v="Dr. Arjun"/>
    <d v="2025-01-02T00:00:00"/>
    <s v="Infection"/>
    <n v="46158"/>
    <n v="11"/>
    <x v="0"/>
    <x v="0"/>
  </r>
  <r>
    <x v="267"/>
    <s v="Meera Singh"/>
    <n v="77"/>
    <x v="0"/>
    <x v="4"/>
    <s v="Dr. Arjun"/>
    <d v="2025-01-02T00:00:00"/>
    <s v="Fever"/>
    <n v="54591"/>
    <n v="2"/>
    <x v="0"/>
    <x v="0"/>
  </r>
  <r>
    <x v="268"/>
    <s v="Imran Ansari"/>
    <n v="41"/>
    <x v="0"/>
    <x v="0"/>
    <s v="Dr. Vivek"/>
    <d v="2025-01-15T00:00:00"/>
    <s v="Pregnancy Check"/>
    <n v="50236"/>
    <n v="1"/>
    <x v="0"/>
    <x v="0"/>
  </r>
  <r>
    <x v="269"/>
    <s v="Arif Shaikh"/>
    <n v="29"/>
    <x v="0"/>
    <x v="5"/>
    <s v="Dr. Raj"/>
    <d v="2025-01-17T00:00:00"/>
    <s v="Lung Cancer"/>
    <n v="96401"/>
    <n v="3"/>
    <x v="0"/>
    <x v="1"/>
  </r>
  <r>
    <x v="270"/>
    <s v="Divya Rao"/>
    <n v="61"/>
    <x v="0"/>
    <x v="5"/>
    <s v="Dr. Raj"/>
    <d v="2025-01-18T00:00:00"/>
    <s v="Pregnancy Check"/>
    <n v="108919"/>
    <n v="3"/>
    <x v="0"/>
    <x v="2"/>
  </r>
  <r>
    <x v="271"/>
    <s v="Simran Patel"/>
    <n v="35"/>
    <x v="1"/>
    <x v="5"/>
    <s v="Dr. Raj"/>
    <d v="2025-01-30T00:00:00"/>
    <s v="PCOD"/>
    <n v="5222"/>
    <n v="12"/>
    <x v="1"/>
    <x v="0"/>
  </r>
  <r>
    <x v="272"/>
    <s v="Kunal Sharma"/>
    <n v="31"/>
    <x v="1"/>
    <x v="4"/>
    <s v="Dr. Arjun"/>
    <d v="2025-01-04T00:00:00"/>
    <s v="Migraine"/>
    <n v="59515"/>
    <n v="9"/>
    <x v="0"/>
    <x v="1"/>
  </r>
  <r>
    <x v="273"/>
    <s v="Rohan Verma"/>
    <n v="43"/>
    <x v="0"/>
    <x v="0"/>
    <s v="Dr. Vivek"/>
    <d v="2025-01-08T00:00:00"/>
    <s v="Back Pain"/>
    <n v="99878"/>
    <n v="12"/>
    <x v="0"/>
    <x v="1"/>
  </r>
  <r>
    <x v="274"/>
    <s v="Ritik Soni"/>
    <n v="32"/>
    <x v="0"/>
    <x v="1"/>
    <s v="Dr. Dev"/>
    <d v="2025-01-19T00:00:00"/>
    <s v="Breast Cancer"/>
    <n v="32051"/>
    <n v="4"/>
    <x v="0"/>
    <x v="0"/>
  </r>
  <r>
    <x v="275"/>
    <s v="Kunal Sharma"/>
    <n v="44"/>
    <x v="0"/>
    <x v="1"/>
    <s v="Dr. Dev"/>
    <d v="2025-01-09T00:00:00"/>
    <s v="Migraine"/>
    <n v="73970"/>
    <n v="9"/>
    <x v="0"/>
    <x v="0"/>
  </r>
  <r>
    <x v="276"/>
    <s v="Imran Ansari"/>
    <n v="53"/>
    <x v="0"/>
    <x v="0"/>
    <s v="Dr. Vivek"/>
    <d v="2025-01-02T00:00:00"/>
    <s v="Chest Pain"/>
    <n v="85320"/>
    <n v="10"/>
    <x v="1"/>
    <x v="0"/>
  </r>
  <r>
    <x v="277"/>
    <s v="Imran Ansari"/>
    <n v="44"/>
    <x v="1"/>
    <x v="5"/>
    <s v="Dr. Raj"/>
    <d v="2025-01-10T00:00:00"/>
    <s v="Pregnancy Check"/>
    <n v="25101"/>
    <n v="12"/>
    <x v="1"/>
    <x v="1"/>
  </r>
  <r>
    <x v="278"/>
    <s v="Ritik Soni"/>
    <n v="72"/>
    <x v="1"/>
    <x v="2"/>
    <s v="Dr. Sneha"/>
    <d v="2025-01-26T00:00:00"/>
    <s v="Diabetes"/>
    <n v="8552"/>
    <n v="8"/>
    <x v="1"/>
    <x v="2"/>
  </r>
  <r>
    <x v="279"/>
    <s v="Pooja Gupta"/>
    <n v="26"/>
    <x v="0"/>
    <x v="1"/>
    <s v="Dr. Dev"/>
    <d v="2025-01-08T00:00:00"/>
    <s v="Stroke"/>
    <n v="27651"/>
    <n v="5"/>
    <x v="0"/>
    <x v="2"/>
  </r>
  <r>
    <x v="280"/>
    <s v="Meera Singh"/>
    <n v="52"/>
    <x v="1"/>
    <x v="5"/>
    <s v="Dr. Raj"/>
    <d v="2025-01-02T00:00:00"/>
    <s v="Stroke"/>
    <n v="50436"/>
    <n v="10"/>
    <x v="0"/>
    <x v="1"/>
  </r>
  <r>
    <x v="281"/>
    <s v="Sara Shaikh"/>
    <n v="64"/>
    <x v="1"/>
    <x v="2"/>
    <s v="Dr. Sneha"/>
    <d v="2025-01-16T00:00:00"/>
    <s v="Back Pain"/>
    <n v="114963"/>
    <n v="5"/>
    <x v="1"/>
    <x v="1"/>
  </r>
  <r>
    <x v="282"/>
    <s v="Sana Ali"/>
    <n v="79"/>
    <x v="1"/>
    <x v="2"/>
    <s v="Dr. Sneha"/>
    <d v="2025-01-24T00:00:00"/>
    <s v="Asthma"/>
    <n v="32797"/>
    <n v="11"/>
    <x v="0"/>
    <x v="2"/>
  </r>
  <r>
    <x v="283"/>
    <s v="Yusuf Khan"/>
    <n v="38"/>
    <x v="0"/>
    <x v="2"/>
    <s v="Dr. Sneha"/>
    <d v="2025-01-13T00:00:00"/>
    <s v="Diabetes"/>
    <n v="70946"/>
    <n v="10"/>
    <x v="1"/>
    <x v="2"/>
  </r>
  <r>
    <x v="284"/>
    <s v="Sadiq Qureshi"/>
    <n v="50"/>
    <x v="0"/>
    <x v="5"/>
    <s v="Dr. Raj"/>
    <d v="2025-01-15T00:00:00"/>
    <s v="PCOD"/>
    <n v="106226"/>
    <n v="11"/>
    <x v="1"/>
    <x v="2"/>
  </r>
  <r>
    <x v="285"/>
    <s v="Sadiq Qureshi"/>
    <n v="38"/>
    <x v="0"/>
    <x v="2"/>
    <s v="Dr. Sneha"/>
    <d v="2025-01-02T00:00:00"/>
    <s v="Arrhythmia"/>
    <n v="98157"/>
    <n v="2"/>
    <x v="0"/>
    <x v="2"/>
  </r>
  <r>
    <x v="286"/>
    <s v="Sara Shaikh"/>
    <n v="55"/>
    <x v="0"/>
    <x v="1"/>
    <s v="Dr. Dev"/>
    <d v="2025-01-10T00:00:00"/>
    <s v="Lung Cancer"/>
    <n v="26715"/>
    <n v="5"/>
    <x v="0"/>
    <x v="2"/>
  </r>
  <r>
    <x v="287"/>
    <s v="Kunal Sharma"/>
    <n v="49"/>
    <x v="0"/>
    <x v="1"/>
    <s v="Dr. Dev"/>
    <d v="2025-01-09T00:00:00"/>
    <s v="Asthma"/>
    <n v="95838"/>
    <n v="10"/>
    <x v="1"/>
    <x v="2"/>
  </r>
  <r>
    <x v="288"/>
    <s v="Sadiq Qureshi"/>
    <n v="28"/>
    <x v="1"/>
    <x v="2"/>
    <s v="Dr. Sneha"/>
    <d v="2025-01-24T00:00:00"/>
    <s v="Asthma"/>
    <n v="25123"/>
    <n v="8"/>
    <x v="0"/>
    <x v="0"/>
  </r>
  <r>
    <x v="289"/>
    <s v="Meera Singh"/>
    <n v="78"/>
    <x v="1"/>
    <x v="4"/>
    <s v="Dr. Arjun"/>
    <d v="2025-01-25T00:00:00"/>
    <s v="Hypertension"/>
    <n v="55053"/>
    <n v="2"/>
    <x v="0"/>
    <x v="1"/>
  </r>
  <r>
    <x v="290"/>
    <s v="Simran Patel"/>
    <n v="18"/>
    <x v="1"/>
    <x v="0"/>
    <s v="Dr. Vivek"/>
    <d v="2025-01-17T00:00:00"/>
    <s v="Diabetes"/>
    <n v="49916"/>
    <n v="0"/>
    <x v="1"/>
    <x v="0"/>
  </r>
  <r>
    <x v="291"/>
    <s v="Aisha Khan"/>
    <n v="18"/>
    <x v="0"/>
    <x v="3"/>
    <s v="Dr. Nidhi"/>
    <d v="2025-01-01T00:00:00"/>
    <s v="Hypertension"/>
    <n v="70391"/>
    <n v="11"/>
    <x v="1"/>
    <x v="0"/>
  </r>
  <r>
    <x v="292"/>
    <s v="Aisha Khan"/>
    <n v="50"/>
    <x v="0"/>
    <x v="5"/>
    <s v="Dr. Raj"/>
    <d v="2025-01-26T00:00:00"/>
    <s v="Flu"/>
    <n v="15026"/>
    <n v="1"/>
    <x v="0"/>
    <x v="1"/>
  </r>
  <r>
    <x v="293"/>
    <s v="Aman Kumar"/>
    <n v="51"/>
    <x v="0"/>
    <x v="2"/>
    <s v="Dr. Sneha"/>
    <d v="2025-01-27T00:00:00"/>
    <s v="Chest Pain"/>
    <n v="36038"/>
    <n v="12"/>
    <x v="1"/>
    <x v="1"/>
  </r>
  <r>
    <x v="294"/>
    <s v="Neha Sharma"/>
    <n v="47"/>
    <x v="1"/>
    <x v="5"/>
    <s v="Dr. Raj"/>
    <d v="2025-01-23T00:00:00"/>
    <s v="Arrhythmia"/>
    <n v="40318"/>
    <n v="10"/>
    <x v="0"/>
    <x v="0"/>
  </r>
  <r>
    <x v="295"/>
    <s v="Rohan Verma"/>
    <n v="23"/>
    <x v="0"/>
    <x v="0"/>
    <s v="Dr. Vivek"/>
    <d v="2025-01-13T00:00:00"/>
    <s v="Pregnancy Check"/>
    <n v="73443"/>
    <n v="7"/>
    <x v="0"/>
    <x v="0"/>
  </r>
  <r>
    <x v="296"/>
    <s v="Vikram Rao"/>
    <n v="23"/>
    <x v="0"/>
    <x v="4"/>
    <s v="Dr. Arjun"/>
    <d v="2025-01-28T00:00:00"/>
    <s v="Infection"/>
    <n v="85529"/>
    <n v="12"/>
    <x v="1"/>
    <x v="0"/>
  </r>
  <r>
    <x v="297"/>
    <s v="Pooja Gupta"/>
    <n v="76"/>
    <x v="1"/>
    <x v="4"/>
    <s v="Dr. Arjun"/>
    <d v="2025-01-08T00:00:00"/>
    <s v="Back Pain"/>
    <n v="119131"/>
    <n v="11"/>
    <x v="1"/>
    <x v="2"/>
  </r>
  <r>
    <x v="298"/>
    <s v="Meera Singh"/>
    <n v="61"/>
    <x v="0"/>
    <x v="4"/>
    <s v="Dr. Arjun"/>
    <d v="2025-01-29T00:00:00"/>
    <s v="Migraine"/>
    <n v="24508"/>
    <n v="5"/>
    <x v="0"/>
    <x v="1"/>
  </r>
  <r>
    <x v="299"/>
    <s v="Simran Patel"/>
    <n v="66"/>
    <x v="0"/>
    <x v="1"/>
    <s v="Dr. Dev"/>
    <d v="2025-01-30T00:00:00"/>
    <s v="Fracture"/>
    <n v="40226"/>
    <n v="2"/>
    <x v="0"/>
    <x v="0"/>
  </r>
  <r>
    <x v="300"/>
    <s v="Yusuf Khan"/>
    <n v="39"/>
    <x v="0"/>
    <x v="3"/>
    <s v="Dr. Nidhi"/>
    <d v="2025-01-25T00:00:00"/>
    <s v="Lung Cancer"/>
    <n v="104612"/>
    <n v="11"/>
    <x v="0"/>
    <x v="0"/>
  </r>
  <r>
    <x v="301"/>
    <s v="Sadiq Qureshi"/>
    <n v="21"/>
    <x v="1"/>
    <x v="0"/>
    <s v="Dr. Vivek"/>
    <d v="2025-01-14T00:00:00"/>
    <s v="Arrhythmia"/>
    <n v="110926"/>
    <n v="1"/>
    <x v="1"/>
    <x v="0"/>
  </r>
  <r>
    <x v="302"/>
    <s v="Aman Kumar"/>
    <n v="43"/>
    <x v="0"/>
    <x v="1"/>
    <s v="Dr. Dev"/>
    <d v="2025-01-01T00:00:00"/>
    <s v="Stroke"/>
    <n v="103701"/>
    <n v="7"/>
    <x v="1"/>
    <x v="1"/>
  </r>
  <r>
    <x v="303"/>
    <s v="Yusuf Khan"/>
    <n v="78"/>
    <x v="0"/>
    <x v="5"/>
    <s v="Dr. Raj"/>
    <d v="2025-01-14T00:00:00"/>
    <s v="Flu"/>
    <n v="90088"/>
    <n v="9"/>
    <x v="1"/>
    <x v="1"/>
  </r>
  <r>
    <x v="304"/>
    <s v="Ritik Soni"/>
    <n v="69"/>
    <x v="1"/>
    <x v="1"/>
    <s v="Dr. Dev"/>
    <d v="2025-01-23T00:00:00"/>
    <s v="Fracture"/>
    <n v="11752"/>
    <n v="4"/>
    <x v="0"/>
    <x v="2"/>
  </r>
  <r>
    <x v="305"/>
    <s v="Simran Patel"/>
    <n v="65"/>
    <x v="0"/>
    <x v="0"/>
    <s v="Dr. Vivek"/>
    <d v="2025-01-11T00:00:00"/>
    <s v="Chest Pain"/>
    <n v="14965"/>
    <n v="1"/>
    <x v="0"/>
    <x v="2"/>
  </r>
  <r>
    <x v="306"/>
    <s v="Sadiq Qureshi"/>
    <n v="66"/>
    <x v="0"/>
    <x v="3"/>
    <s v="Dr. Nidhi"/>
    <d v="2025-01-04T00:00:00"/>
    <s v="Lung Cancer"/>
    <n v="12442"/>
    <n v="2"/>
    <x v="1"/>
    <x v="2"/>
  </r>
  <r>
    <x v="307"/>
    <s v="Yusuf Khan"/>
    <n v="50"/>
    <x v="0"/>
    <x v="1"/>
    <s v="Dr. Dev"/>
    <d v="2025-01-04T00:00:00"/>
    <s v="Hypertension"/>
    <n v="12746"/>
    <n v="5"/>
    <x v="0"/>
    <x v="0"/>
  </r>
  <r>
    <x v="308"/>
    <s v="Anjali Mehta"/>
    <n v="73"/>
    <x v="0"/>
    <x v="1"/>
    <s v="Dr. Dev"/>
    <d v="2025-01-01T00:00:00"/>
    <s v="Fever"/>
    <n v="55238"/>
    <n v="6"/>
    <x v="0"/>
    <x v="0"/>
  </r>
  <r>
    <x v="309"/>
    <s v="Kunal Sharma"/>
    <n v="54"/>
    <x v="1"/>
    <x v="1"/>
    <s v="Dr. Dev"/>
    <d v="2025-01-22T00:00:00"/>
    <s v="Pregnancy Check"/>
    <n v="23216"/>
    <n v="2"/>
    <x v="1"/>
    <x v="2"/>
  </r>
  <r>
    <x v="310"/>
    <s v="Rehan Sheikh"/>
    <n v="27"/>
    <x v="1"/>
    <x v="5"/>
    <s v="Dr. Raj"/>
    <d v="2025-01-06T00:00:00"/>
    <s v="Infection"/>
    <n v="37170"/>
    <n v="6"/>
    <x v="1"/>
    <x v="2"/>
  </r>
  <r>
    <x v="311"/>
    <s v="Sadiq Qureshi"/>
    <n v="34"/>
    <x v="1"/>
    <x v="4"/>
    <s v="Dr. Arjun"/>
    <d v="2025-01-24T00:00:00"/>
    <s v="Asthma"/>
    <n v="78831"/>
    <n v="9"/>
    <x v="0"/>
    <x v="2"/>
  </r>
  <r>
    <x v="312"/>
    <s v="Simran Patel"/>
    <n v="37"/>
    <x v="1"/>
    <x v="4"/>
    <s v="Dr. Arjun"/>
    <d v="2025-01-31T00:00:00"/>
    <s v="Pregnancy Check"/>
    <n v="44544"/>
    <n v="9"/>
    <x v="1"/>
    <x v="2"/>
  </r>
  <r>
    <x v="313"/>
    <s v="Anjali Mehta"/>
    <n v="45"/>
    <x v="1"/>
    <x v="3"/>
    <s v="Dr. Nidhi"/>
    <d v="2025-01-10T00:00:00"/>
    <s v="Breast Cancer"/>
    <n v="80064"/>
    <n v="11"/>
    <x v="0"/>
    <x v="2"/>
  </r>
  <r>
    <x v="314"/>
    <s v="Vikram Rao"/>
    <n v="79"/>
    <x v="0"/>
    <x v="5"/>
    <s v="Dr. Raj"/>
    <d v="2025-01-31T00:00:00"/>
    <s v="Breast Cancer"/>
    <n v="39200"/>
    <n v="11"/>
    <x v="1"/>
    <x v="0"/>
  </r>
  <r>
    <x v="315"/>
    <s v="Anjali Mehta"/>
    <n v="42"/>
    <x v="0"/>
    <x v="2"/>
    <s v="Dr. Sneha"/>
    <d v="2025-01-27T00:00:00"/>
    <s v="Pregnancy Check"/>
    <n v="48843"/>
    <n v="1"/>
    <x v="0"/>
    <x v="0"/>
  </r>
  <r>
    <x v="316"/>
    <s v="Vikram Rao"/>
    <n v="61"/>
    <x v="1"/>
    <x v="1"/>
    <s v="Dr. Dev"/>
    <d v="2025-01-31T00:00:00"/>
    <s v="Diabetes"/>
    <n v="93847"/>
    <n v="3"/>
    <x v="1"/>
    <x v="2"/>
  </r>
  <r>
    <x v="317"/>
    <s v="Meera Singh"/>
    <n v="70"/>
    <x v="0"/>
    <x v="0"/>
    <s v="Dr. Vivek"/>
    <d v="2025-01-22T00:00:00"/>
    <s v="Asthma"/>
    <n v="19242"/>
    <n v="10"/>
    <x v="1"/>
    <x v="1"/>
  </r>
  <r>
    <x v="318"/>
    <s v="Simran Patel"/>
    <n v="63"/>
    <x v="0"/>
    <x v="5"/>
    <s v="Dr. Raj"/>
    <d v="2025-01-26T00:00:00"/>
    <s v="Pregnancy Check"/>
    <n v="10694"/>
    <n v="7"/>
    <x v="1"/>
    <x v="0"/>
  </r>
  <r>
    <x v="319"/>
    <s v="Yusuf Khan"/>
    <n v="50"/>
    <x v="0"/>
    <x v="3"/>
    <s v="Dr. Nidhi"/>
    <d v="2025-01-18T00:00:00"/>
    <s v="Migraine"/>
    <n v="104641"/>
    <n v="5"/>
    <x v="0"/>
    <x v="1"/>
  </r>
  <r>
    <x v="320"/>
    <s v="Sadiq Qureshi"/>
    <n v="28"/>
    <x v="1"/>
    <x v="2"/>
    <s v="Dr. Sneha"/>
    <d v="2025-01-19T00:00:00"/>
    <s v="Pregnancy Check"/>
    <n v="99655"/>
    <n v="5"/>
    <x v="1"/>
    <x v="1"/>
  </r>
  <r>
    <x v="321"/>
    <s v="Arif Shaikh"/>
    <n v="34"/>
    <x v="1"/>
    <x v="4"/>
    <s v="Dr. Arjun"/>
    <d v="2025-01-17T00:00:00"/>
    <s v="Kidney Stone"/>
    <n v="74137"/>
    <n v="9"/>
    <x v="0"/>
    <x v="2"/>
  </r>
  <r>
    <x v="322"/>
    <s v="Neha Sharma"/>
    <n v="47"/>
    <x v="1"/>
    <x v="5"/>
    <s v="Dr. Raj"/>
    <d v="2025-01-12T00:00:00"/>
    <s v="Hypertension"/>
    <n v="64277"/>
    <n v="1"/>
    <x v="1"/>
    <x v="2"/>
  </r>
  <r>
    <x v="323"/>
    <s v="Arif Shaikh"/>
    <n v="71"/>
    <x v="1"/>
    <x v="4"/>
    <s v="Dr. Arjun"/>
    <d v="2025-01-12T00:00:00"/>
    <s v="Fever"/>
    <n v="45966"/>
    <n v="7"/>
    <x v="0"/>
    <x v="0"/>
  </r>
  <r>
    <x v="324"/>
    <s v="Sadiq Qureshi"/>
    <n v="48"/>
    <x v="1"/>
    <x v="3"/>
    <s v="Dr. Nidhi"/>
    <d v="2025-01-15T00:00:00"/>
    <s v="Diabetes"/>
    <n v="42800"/>
    <n v="1"/>
    <x v="1"/>
    <x v="1"/>
  </r>
  <r>
    <x v="325"/>
    <s v="Arif Shaikh"/>
    <n v="19"/>
    <x v="0"/>
    <x v="0"/>
    <s v="Dr. Vivek"/>
    <d v="2025-01-21T00:00:00"/>
    <s v="PCOD"/>
    <n v="89754"/>
    <n v="12"/>
    <x v="0"/>
    <x v="0"/>
  </r>
  <r>
    <x v="326"/>
    <s v="Pooja Gupta"/>
    <n v="29"/>
    <x v="1"/>
    <x v="2"/>
    <s v="Dr. Sneha"/>
    <d v="2025-01-11T00:00:00"/>
    <s v="Infection"/>
    <n v="61562"/>
    <n v="3"/>
    <x v="1"/>
    <x v="0"/>
  </r>
  <r>
    <x v="327"/>
    <s v="Vikram Rao"/>
    <n v="58"/>
    <x v="0"/>
    <x v="2"/>
    <s v="Dr. Sneha"/>
    <d v="2025-01-13T00:00:00"/>
    <s v="Hypertension"/>
    <n v="97650"/>
    <n v="9"/>
    <x v="0"/>
    <x v="2"/>
  </r>
  <r>
    <x v="328"/>
    <s v="Imran Ansari"/>
    <n v="42"/>
    <x v="1"/>
    <x v="1"/>
    <s v="Dr. Dev"/>
    <d v="2025-01-23T00:00:00"/>
    <s v="Back Pain"/>
    <n v="27972"/>
    <n v="4"/>
    <x v="0"/>
    <x v="0"/>
  </r>
  <r>
    <x v="329"/>
    <s v="Yusuf Khan"/>
    <n v="29"/>
    <x v="0"/>
    <x v="4"/>
    <s v="Dr. Arjun"/>
    <d v="2025-01-11T00:00:00"/>
    <s v="Back Pain"/>
    <n v="60972"/>
    <n v="1"/>
    <x v="1"/>
    <x v="0"/>
  </r>
  <r>
    <x v="330"/>
    <s v="Pooja Gupta"/>
    <n v="79"/>
    <x v="0"/>
    <x v="3"/>
    <s v="Dr. Nidhi"/>
    <d v="2025-01-20T00:00:00"/>
    <s v="Pregnancy Check"/>
    <n v="81125"/>
    <n v="6"/>
    <x v="0"/>
    <x v="2"/>
  </r>
  <r>
    <x v="331"/>
    <s v="Divya Rao"/>
    <n v="57"/>
    <x v="1"/>
    <x v="5"/>
    <s v="Dr. Raj"/>
    <d v="2025-01-27T00:00:00"/>
    <s v="Fever"/>
    <n v="81541"/>
    <n v="9"/>
    <x v="0"/>
    <x v="0"/>
  </r>
  <r>
    <x v="332"/>
    <s v="Anjali Mehta"/>
    <n v="25"/>
    <x v="1"/>
    <x v="2"/>
    <s v="Dr. Sneha"/>
    <d v="2025-01-10T00:00:00"/>
    <s v="PCOD"/>
    <n v="24992"/>
    <n v="5"/>
    <x v="0"/>
    <x v="0"/>
  </r>
  <r>
    <x v="333"/>
    <s v="Imran Ansari"/>
    <n v="56"/>
    <x v="1"/>
    <x v="3"/>
    <s v="Dr. Nidhi"/>
    <d v="2025-01-19T00:00:00"/>
    <s v="Pregnancy Check"/>
    <n v="56448"/>
    <n v="2"/>
    <x v="1"/>
    <x v="0"/>
  </r>
  <r>
    <x v="334"/>
    <s v="Vikram Rao"/>
    <n v="53"/>
    <x v="1"/>
    <x v="1"/>
    <s v="Dr. Dev"/>
    <d v="2025-01-16T00:00:00"/>
    <s v="Fever"/>
    <n v="19388"/>
    <n v="2"/>
    <x v="1"/>
    <x v="2"/>
  </r>
  <r>
    <x v="335"/>
    <s v="Rohan Verma"/>
    <n v="73"/>
    <x v="0"/>
    <x v="1"/>
    <s v="Dr. Dev"/>
    <d v="2025-01-31T00:00:00"/>
    <s v="Hypertension"/>
    <n v="64518"/>
    <n v="2"/>
    <x v="0"/>
    <x v="2"/>
  </r>
  <r>
    <x v="336"/>
    <s v="Pooja Gupta"/>
    <n v="59"/>
    <x v="0"/>
    <x v="1"/>
    <s v="Dr. Dev"/>
    <d v="2025-01-14T00:00:00"/>
    <s v="Asthma"/>
    <n v="55477"/>
    <n v="11"/>
    <x v="1"/>
    <x v="2"/>
  </r>
  <r>
    <x v="337"/>
    <s v="Meera Singh"/>
    <n v="54"/>
    <x v="1"/>
    <x v="2"/>
    <s v="Dr. Sneha"/>
    <d v="2025-01-26T00:00:00"/>
    <s v="Arrhythmia"/>
    <n v="39284"/>
    <n v="0"/>
    <x v="1"/>
    <x v="1"/>
  </r>
  <r>
    <x v="338"/>
    <s v="Ritik Soni"/>
    <n v="28"/>
    <x v="0"/>
    <x v="1"/>
    <s v="Dr. Dev"/>
    <d v="2025-01-19T00:00:00"/>
    <s v="Asthma"/>
    <n v="73053"/>
    <n v="8"/>
    <x v="0"/>
    <x v="0"/>
  </r>
  <r>
    <x v="339"/>
    <s v="Farheen Syed"/>
    <n v="67"/>
    <x v="0"/>
    <x v="4"/>
    <s v="Dr. Arjun"/>
    <d v="2025-01-18T00:00:00"/>
    <s v="Migraine"/>
    <n v="100615"/>
    <n v="11"/>
    <x v="1"/>
    <x v="0"/>
  </r>
  <r>
    <x v="340"/>
    <s v="Imran Ansari"/>
    <n v="24"/>
    <x v="1"/>
    <x v="2"/>
    <s v="Dr. Sneha"/>
    <d v="2025-01-10T00:00:00"/>
    <s v="Migraine"/>
    <n v="59947"/>
    <n v="4"/>
    <x v="1"/>
    <x v="1"/>
  </r>
  <r>
    <x v="341"/>
    <s v="Arif Shaikh"/>
    <n v="67"/>
    <x v="1"/>
    <x v="3"/>
    <s v="Dr. Nidhi"/>
    <d v="2025-01-07T00:00:00"/>
    <s v="Chest Pain"/>
    <n v="113859"/>
    <n v="11"/>
    <x v="1"/>
    <x v="1"/>
  </r>
  <r>
    <x v="342"/>
    <s v="Simran Patel"/>
    <n v="68"/>
    <x v="1"/>
    <x v="1"/>
    <s v="Dr. Dev"/>
    <d v="2025-01-27T00:00:00"/>
    <s v="Back Pain"/>
    <n v="106570"/>
    <n v="0"/>
    <x v="1"/>
    <x v="0"/>
  </r>
  <r>
    <x v="343"/>
    <s v="Aman Kumar"/>
    <n v="52"/>
    <x v="1"/>
    <x v="5"/>
    <s v="Dr. Raj"/>
    <d v="2025-01-11T00:00:00"/>
    <s v="Fever"/>
    <n v="38923"/>
    <n v="9"/>
    <x v="1"/>
    <x v="0"/>
  </r>
  <r>
    <x v="344"/>
    <s v="Arif Shaikh"/>
    <n v="26"/>
    <x v="0"/>
    <x v="0"/>
    <s v="Dr. Vivek"/>
    <d v="2025-01-30T00:00:00"/>
    <s v="Migraine"/>
    <n v="37349"/>
    <n v="10"/>
    <x v="0"/>
    <x v="0"/>
  </r>
  <r>
    <x v="345"/>
    <s v="Kunal Sharma"/>
    <n v="27"/>
    <x v="0"/>
    <x v="2"/>
    <s v="Dr. Sneha"/>
    <d v="2025-01-27T00:00:00"/>
    <s v="Arrhythmia"/>
    <n v="100807"/>
    <n v="10"/>
    <x v="1"/>
    <x v="2"/>
  </r>
  <r>
    <x v="346"/>
    <s v="Sara Shaikh"/>
    <n v="58"/>
    <x v="0"/>
    <x v="2"/>
    <s v="Dr. Sneha"/>
    <d v="2025-01-21T00:00:00"/>
    <s v="Infection"/>
    <n v="50174"/>
    <n v="7"/>
    <x v="0"/>
    <x v="0"/>
  </r>
  <r>
    <x v="347"/>
    <s v="Neha Sharma"/>
    <n v="50"/>
    <x v="0"/>
    <x v="4"/>
    <s v="Dr. Arjun"/>
    <d v="2025-01-23T00:00:00"/>
    <s v="Chest Pain"/>
    <n v="60597"/>
    <n v="7"/>
    <x v="1"/>
    <x v="0"/>
  </r>
  <r>
    <x v="348"/>
    <s v="Meera Singh"/>
    <n v="64"/>
    <x v="0"/>
    <x v="4"/>
    <s v="Dr. Arjun"/>
    <d v="2025-01-21T00:00:00"/>
    <s v="Chest Pain"/>
    <n v="112425"/>
    <n v="1"/>
    <x v="1"/>
    <x v="1"/>
  </r>
  <r>
    <x v="349"/>
    <s v="Sana Ali"/>
    <n v="49"/>
    <x v="0"/>
    <x v="3"/>
    <s v="Dr. Nidhi"/>
    <d v="2025-01-11T00:00:00"/>
    <s v="Fever"/>
    <n v="45270"/>
    <n v="8"/>
    <x v="0"/>
    <x v="0"/>
  </r>
  <r>
    <x v="350"/>
    <s v="Anjali Mehta"/>
    <n v="75"/>
    <x v="1"/>
    <x v="3"/>
    <s v="Dr. Nidhi"/>
    <d v="2025-01-02T00:00:00"/>
    <s v="PCOD"/>
    <n v="83074"/>
    <n v="12"/>
    <x v="1"/>
    <x v="1"/>
  </r>
  <r>
    <x v="351"/>
    <s v="Vikram Rao"/>
    <n v="46"/>
    <x v="0"/>
    <x v="4"/>
    <s v="Dr. Arjun"/>
    <d v="2025-01-01T00:00:00"/>
    <s v="Infection"/>
    <n v="27518"/>
    <n v="11"/>
    <x v="0"/>
    <x v="0"/>
  </r>
  <r>
    <x v="352"/>
    <s v="Vikram Rao"/>
    <n v="73"/>
    <x v="0"/>
    <x v="5"/>
    <s v="Dr. Raj"/>
    <d v="2025-01-03T00:00:00"/>
    <s v="Chest Pain"/>
    <n v="33819"/>
    <n v="1"/>
    <x v="1"/>
    <x v="0"/>
  </r>
  <r>
    <x v="353"/>
    <s v="Vikram Rao"/>
    <n v="21"/>
    <x v="0"/>
    <x v="0"/>
    <s v="Dr. Vivek"/>
    <d v="2025-01-21T00:00:00"/>
    <s v="Fever"/>
    <n v="96156"/>
    <n v="11"/>
    <x v="0"/>
    <x v="2"/>
  </r>
  <r>
    <x v="354"/>
    <s v="Meera Singh"/>
    <n v="63"/>
    <x v="1"/>
    <x v="0"/>
    <s v="Dr. Vivek"/>
    <d v="2025-01-01T00:00:00"/>
    <s v="Back Pain"/>
    <n v="63496"/>
    <n v="1"/>
    <x v="0"/>
    <x v="0"/>
  </r>
  <r>
    <x v="355"/>
    <s v="Pooja Gupta"/>
    <n v="61"/>
    <x v="0"/>
    <x v="2"/>
    <s v="Dr. Sneha"/>
    <d v="2025-01-01T00:00:00"/>
    <s v="Hypertension"/>
    <n v="92173"/>
    <n v="5"/>
    <x v="0"/>
    <x v="2"/>
  </r>
  <r>
    <x v="356"/>
    <s v="Simran Patel"/>
    <n v="48"/>
    <x v="1"/>
    <x v="0"/>
    <s v="Dr. Vivek"/>
    <d v="2025-01-08T00:00:00"/>
    <s v="Pregnancy Check"/>
    <n v="12708"/>
    <n v="11"/>
    <x v="0"/>
    <x v="1"/>
  </r>
  <r>
    <x v="357"/>
    <s v="Sadiq Qureshi"/>
    <n v="74"/>
    <x v="0"/>
    <x v="5"/>
    <s v="Dr. Raj"/>
    <d v="2025-01-05T00:00:00"/>
    <s v="Pregnancy Check"/>
    <n v="102379"/>
    <n v="12"/>
    <x v="0"/>
    <x v="0"/>
  </r>
  <r>
    <x v="358"/>
    <s v="Simran Patel"/>
    <n v="22"/>
    <x v="1"/>
    <x v="0"/>
    <s v="Dr. Vivek"/>
    <d v="2025-01-20T00:00:00"/>
    <s v="Flu"/>
    <n v="58684"/>
    <n v="5"/>
    <x v="0"/>
    <x v="0"/>
  </r>
  <r>
    <x v="359"/>
    <s v="Simran Patel"/>
    <n v="76"/>
    <x v="0"/>
    <x v="0"/>
    <s v="Dr. Vivek"/>
    <d v="2025-01-20T00:00:00"/>
    <s v="Diabetes"/>
    <n v="113717"/>
    <n v="3"/>
    <x v="0"/>
    <x v="1"/>
  </r>
  <r>
    <x v="360"/>
    <s v="Arif Shaikh"/>
    <n v="55"/>
    <x v="0"/>
    <x v="2"/>
    <s v="Dr. Sneha"/>
    <d v="2025-01-12T00:00:00"/>
    <s v="Infection"/>
    <n v="42222"/>
    <n v="12"/>
    <x v="0"/>
    <x v="1"/>
  </r>
  <r>
    <x v="361"/>
    <s v="Meera Singh"/>
    <n v="33"/>
    <x v="0"/>
    <x v="5"/>
    <s v="Dr. Raj"/>
    <d v="2025-01-25T00:00:00"/>
    <s v="Hypertension"/>
    <n v="112134"/>
    <n v="10"/>
    <x v="1"/>
    <x v="1"/>
  </r>
  <r>
    <x v="362"/>
    <s v="Aman Kumar"/>
    <n v="50"/>
    <x v="1"/>
    <x v="1"/>
    <s v="Dr. Dev"/>
    <d v="2025-01-24T00:00:00"/>
    <s v="Pregnancy Check"/>
    <n v="39737"/>
    <n v="10"/>
    <x v="0"/>
    <x v="1"/>
  </r>
  <r>
    <x v="363"/>
    <s v="Neha Sharma"/>
    <n v="25"/>
    <x v="1"/>
    <x v="3"/>
    <s v="Dr. Nidhi"/>
    <d v="2025-01-16T00:00:00"/>
    <s v="Fracture"/>
    <n v="70243"/>
    <n v="0"/>
    <x v="1"/>
    <x v="2"/>
  </r>
  <r>
    <x v="364"/>
    <s v="Neha Sharma"/>
    <n v="73"/>
    <x v="0"/>
    <x v="2"/>
    <s v="Dr. Sneha"/>
    <d v="2025-01-12T00:00:00"/>
    <s v="Flu"/>
    <n v="100972"/>
    <n v="7"/>
    <x v="0"/>
    <x v="1"/>
  </r>
  <r>
    <x v="365"/>
    <s v="Meera Singh"/>
    <n v="18"/>
    <x v="0"/>
    <x v="1"/>
    <s v="Dr. Dev"/>
    <d v="2025-01-07T00:00:00"/>
    <s v="Migraine"/>
    <n v="8925"/>
    <n v="12"/>
    <x v="1"/>
    <x v="0"/>
  </r>
  <r>
    <x v="366"/>
    <s v="Pooja Gupta"/>
    <n v="67"/>
    <x v="0"/>
    <x v="5"/>
    <s v="Dr. Raj"/>
    <d v="2025-01-14T00:00:00"/>
    <s v="Pregnancy Check"/>
    <n v="11803"/>
    <n v="10"/>
    <x v="0"/>
    <x v="2"/>
  </r>
  <r>
    <x v="367"/>
    <s v="Ritik Soni"/>
    <n v="23"/>
    <x v="1"/>
    <x v="4"/>
    <s v="Dr. Arjun"/>
    <d v="2025-01-26T00:00:00"/>
    <s v="Lung Cancer"/>
    <n v="71305"/>
    <n v="5"/>
    <x v="1"/>
    <x v="0"/>
  </r>
  <r>
    <x v="368"/>
    <s v="Meera Singh"/>
    <n v="37"/>
    <x v="0"/>
    <x v="0"/>
    <s v="Dr. Vivek"/>
    <d v="2025-01-24T00:00:00"/>
    <s v="Arrhythmia"/>
    <n v="8589"/>
    <n v="3"/>
    <x v="0"/>
    <x v="2"/>
  </r>
  <r>
    <x v="369"/>
    <s v="Divya Rao"/>
    <n v="57"/>
    <x v="1"/>
    <x v="4"/>
    <s v="Dr. Arjun"/>
    <d v="2025-01-10T00:00:00"/>
    <s v="Flu"/>
    <n v="16655"/>
    <n v="0"/>
    <x v="0"/>
    <x v="0"/>
  </r>
  <r>
    <x v="370"/>
    <s v="Vikram Rao"/>
    <n v="49"/>
    <x v="0"/>
    <x v="4"/>
    <s v="Dr. Arjun"/>
    <d v="2025-01-17T00:00:00"/>
    <s v="Kidney Stone"/>
    <n v="103627"/>
    <n v="11"/>
    <x v="1"/>
    <x v="1"/>
  </r>
  <r>
    <x v="371"/>
    <s v="Simran Patel"/>
    <n v="65"/>
    <x v="0"/>
    <x v="5"/>
    <s v="Dr. Raj"/>
    <d v="2025-01-24T00:00:00"/>
    <s v="PCOD"/>
    <n v="102112"/>
    <n v="0"/>
    <x v="1"/>
    <x v="2"/>
  </r>
  <r>
    <x v="372"/>
    <s v="Pooja Gupta"/>
    <n v="22"/>
    <x v="0"/>
    <x v="5"/>
    <s v="Dr. Raj"/>
    <d v="2025-01-23T00:00:00"/>
    <s v="Fracture"/>
    <n v="66031"/>
    <n v="7"/>
    <x v="1"/>
    <x v="1"/>
  </r>
  <r>
    <x v="373"/>
    <s v="Sara Shaikh"/>
    <n v="28"/>
    <x v="0"/>
    <x v="3"/>
    <s v="Dr. Nidhi"/>
    <d v="2025-01-06T00:00:00"/>
    <s v="Stroke"/>
    <n v="102361"/>
    <n v="1"/>
    <x v="0"/>
    <x v="1"/>
  </r>
  <r>
    <x v="374"/>
    <s v="Pooja Gupta"/>
    <n v="18"/>
    <x v="1"/>
    <x v="0"/>
    <s v="Dr. Vivek"/>
    <d v="2025-01-28T00:00:00"/>
    <s v="Hypertension"/>
    <n v="33053"/>
    <n v="0"/>
    <x v="1"/>
    <x v="2"/>
  </r>
  <r>
    <x v="375"/>
    <s v="Simran Patel"/>
    <n v="29"/>
    <x v="1"/>
    <x v="3"/>
    <s v="Dr. Nidhi"/>
    <d v="2025-01-18T00:00:00"/>
    <s v="Infection"/>
    <n v="30427"/>
    <n v="5"/>
    <x v="0"/>
    <x v="2"/>
  </r>
  <r>
    <x v="376"/>
    <s v="Anjali Mehta"/>
    <n v="35"/>
    <x v="1"/>
    <x v="0"/>
    <s v="Dr. Vivek"/>
    <d v="2025-01-19T00:00:00"/>
    <s v="Chest Pain"/>
    <n v="16650"/>
    <n v="8"/>
    <x v="0"/>
    <x v="1"/>
  </r>
  <r>
    <x v="377"/>
    <s v="Pooja Gupta"/>
    <n v="80"/>
    <x v="1"/>
    <x v="2"/>
    <s v="Dr. Sneha"/>
    <d v="2025-01-31T00:00:00"/>
    <s v="Pregnancy Check"/>
    <n v="10034"/>
    <n v="7"/>
    <x v="1"/>
    <x v="2"/>
  </r>
  <r>
    <x v="378"/>
    <s v="Meera Singh"/>
    <n v="53"/>
    <x v="0"/>
    <x v="5"/>
    <s v="Dr. Raj"/>
    <d v="2025-01-01T00:00:00"/>
    <s v="Chest Pain"/>
    <n v="27302"/>
    <n v="4"/>
    <x v="1"/>
    <x v="0"/>
  </r>
  <r>
    <x v="379"/>
    <s v="Kunal Sharma"/>
    <n v="47"/>
    <x v="0"/>
    <x v="1"/>
    <s v="Dr. Dev"/>
    <d v="2025-01-19T00:00:00"/>
    <s v="Asthma"/>
    <n v="102267"/>
    <n v="12"/>
    <x v="0"/>
    <x v="0"/>
  </r>
  <r>
    <x v="380"/>
    <s v="Kunal Sharma"/>
    <n v="27"/>
    <x v="1"/>
    <x v="1"/>
    <s v="Dr. Dev"/>
    <d v="2025-01-30T00:00:00"/>
    <s v="Infection"/>
    <n v="4133"/>
    <n v="3"/>
    <x v="1"/>
    <x v="0"/>
  </r>
  <r>
    <x v="381"/>
    <s v="Aisha Khan"/>
    <n v="78"/>
    <x v="0"/>
    <x v="0"/>
    <s v="Dr. Vivek"/>
    <d v="2025-01-01T00:00:00"/>
    <s v="Pregnancy Check"/>
    <n v="112280"/>
    <n v="11"/>
    <x v="1"/>
    <x v="1"/>
  </r>
  <r>
    <x v="382"/>
    <s v="Pooja Gupta"/>
    <n v="80"/>
    <x v="1"/>
    <x v="2"/>
    <s v="Dr. Sneha"/>
    <d v="2025-01-14T00:00:00"/>
    <s v="Asthma"/>
    <n v="8850"/>
    <n v="2"/>
    <x v="1"/>
    <x v="1"/>
  </r>
  <r>
    <x v="383"/>
    <s v="Kunal Sharma"/>
    <n v="75"/>
    <x v="0"/>
    <x v="4"/>
    <s v="Dr. Arjun"/>
    <d v="2025-01-23T00:00:00"/>
    <s v="Chest Pain"/>
    <n v="61091"/>
    <n v="11"/>
    <x v="0"/>
    <x v="0"/>
  </r>
  <r>
    <x v="384"/>
    <s v="Pooja Gupta"/>
    <n v="26"/>
    <x v="0"/>
    <x v="4"/>
    <s v="Dr. Arjun"/>
    <d v="2025-01-03T00:00:00"/>
    <s v="Migraine"/>
    <n v="58014"/>
    <n v="10"/>
    <x v="0"/>
    <x v="1"/>
  </r>
  <r>
    <x v="385"/>
    <s v="Farheen Syed"/>
    <n v="72"/>
    <x v="0"/>
    <x v="5"/>
    <s v="Dr. Raj"/>
    <d v="2025-01-30T00:00:00"/>
    <s v="Pregnancy Check"/>
    <n v="92845"/>
    <n v="11"/>
    <x v="1"/>
    <x v="2"/>
  </r>
  <r>
    <x v="386"/>
    <s v="Farheen Syed"/>
    <n v="32"/>
    <x v="1"/>
    <x v="3"/>
    <s v="Dr. Nidhi"/>
    <d v="2025-01-31T00:00:00"/>
    <s v="Back Pain"/>
    <n v="18840"/>
    <n v="12"/>
    <x v="0"/>
    <x v="1"/>
  </r>
  <r>
    <x v="387"/>
    <s v="Vikram Rao"/>
    <n v="46"/>
    <x v="0"/>
    <x v="4"/>
    <s v="Dr. Arjun"/>
    <d v="2025-01-11T00:00:00"/>
    <s v="Infection"/>
    <n v="16825"/>
    <n v="8"/>
    <x v="1"/>
    <x v="1"/>
  </r>
  <r>
    <x v="388"/>
    <s v="Ritik Soni"/>
    <n v="47"/>
    <x v="0"/>
    <x v="3"/>
    <s v="Dr. Nidhi"/>
    <d v="2025-01-28T00:00:00"/>
    <s v="PCOD"/>
    <n v="12851"/>
    <n v="2"/>
    <x v="1"/>
    <x v="0"/>
  </r>
  <r>
    <x v="389"/>
    <s v="Aman Kumar"/>
    <n v="20"/>
    <x v="1"/>
    <x v="0"/>
    <s v="Dr. Vivek"/>
    <d v="2025-01-27T00:00:00"/>
    <s v="Breast Cancer"/>
    <n v="20441"/>
    <n v="1"/>
    <x v="0"/>
    <x v="2"/>
  </r>
  <r>
    <x v="390"/>
    <s v="Pooja Gupta"/>
    <n v="21"/>
    <x v="0"/>
    <x v="3"/>
    <s v="Dr. Nidhi"/>
    <d v="2025-01-09T00:00:00"/>
    <s v="Flu"/>
    <n v="5073"/>
    <n v="6"/>
    <x v="1"/>
    <x v="0"/>
  </r>
  <r>
    <x v="391"/>
    <s v="Yusuf Khan"/>
    <n v="33"/>
    <x v="1"/>
    <x v="0"/>
    <s v="Dr. Vivek"/>
    <d v="2025-01-15T00:00:00"/>
    <s v="PCOD"/>
    <n v="106368"/>
    <n v="12"/>
    <x v="0"/>
    <x v="1"/>
  </r>
  <r>
    <x v="392"/>
    <s v="Rohan Verma"/>
    <n v="71"/>
    <x v="1"/>
    <x v="4"/>
    <s v="Dr. Arjun"/>
    <d v="2025-01-05T00:00:00"/>
    <s v="Back Pain"/>
    <n v="108960"/>
    <n v="6"/>
    <x v="1"/>
    <x v="0"/>
  </r>
  <r>
    <x v="393"/>
    <s v="Meera Singh"/>
    <n v="55"/>
    <x v="0"/>
    <x v="0"/>
    <s v="Dr. Vivek"/>
    <d v="2025-01-30T00:00:00"/>
    <s v="Fracture"/>
    <n v="3857"/>
    <n v="1"/>
    <x v="0"/>
    <x v="0"/>
  </r>
  <r>
    <x v="394"/>
    <s v="Simran Patel"/>
    <n v="23"/>
    <x v="0"/>
    <x v="3"/>
    <s v="Dr. Nidhi"/>
    <d v="2025-01-04T00:00:00"/>
    <s v="Migraine"/>
    <n v="61423"/>
    <n v="0"/>
    <x v="0"/>
    <x v="0"/>
  </r>
  <r>
    <x v="395"/>
    <s v="Neha Sharma"/>
    <n v="49"/>
    <x v="1"/>
    <x v="3"/>
    <s v="Dr. Nidhi"/>
    <d v="2025-01-13T00:00:00"/>
    <s v="Infection"/>
    <n v="23650"/>
    <n v="5"/>
    <x v="0"/>
    <x v="1"/>
  </r>
  <r>
    <x v="396"/>
    <s v="Farheen Syed"/>
    <n v="46"/>
    <x v="1"/>
    <x v="5"/>
    <s v="Dr. Raj"/>
    <d v="2025-01-02T00:00:00"/>
    <s v="Arrhythmia"/>
    <n v="85840"/>
    <n v="4"/>
    <x v="1"/>
    <x v="2"/>
  </r>
  <r>
    <x v="397"/>
    <s v="Rehan Sheikh"/>
    <n v="21"/>
    <x v="1"/>
    <x v="1"/>
    <s v="Dr. Dev"/>
    <d v="2025-01-09T00:00:00"/>
    <s v="Pregnancy Check"/>
    <n v="18987"/>
    <n v="6"/>
    <x v="0"/>
    <x v="0"/>
  </r>
  <r>
    <x v="398"/>
    <s v="Kunal Sharma"/>
    <n v="58"/>
    <x v="1"/>
    <x v="1"/>
    <s v="Dr. Dev"/>
    <d v="2025-01-13T00:00:00"/>
    <s v="Chest Pain"/>
    <n v="63873"/>
    <n v="8"/>
    <x v="1"/>
    <x v="2"/>
  </r>
  <r>
    <x v="399"/>
    <s v="Pooja Gupta"/>
    <n v="38"/>
    <x v="0"/>
    <x v="1"/>
    <s v="Dr. Dev"/>
    <d v="2025-01-09T00:00:00"/>
    <s v="Flu"/>
    <n v="4416"/>
    <n v="5"/>
    <x v="0"/>
    <x v="1"/>
  </r>
  <r>
    <x v="400"/>
    <s v="Rohan Verma"/>
    <n v="69"/>
    <x v="0"/>
    <x v="5"/>
    <s v="Dr. Raj"/>
    <d v="2025-01-17T00:00:00"/>
    <s v="Chest Pain"/>
    <n v="101511"/>
    <n v="9"/>
    <x v="0"/>
    <x v="1"/>
  </r>
  <r>
    <x v="401"/>
    <s v="Kunal Sharma"/>
    <n v="60"/>
    <x v="1"/>
    <x v="4"/>
    <s v="Dr. Arjun"/>
    <d v="2025-01-09T00:00:00"/>
    <s v="Migraine"/>
    <n v="101145"/>
    <n v="3"/>
    <x v="1"/>
    <x v="2"/>
  </r>
  <r>
    <x v="402"/>
    <s v="Vikram Rao"/>
    <n v="33"/>
    <x v="0"/>
    <x v="2"/>
    <s v="Dr. Sneha"/>
    <d v="2025-01-26T00:00:00"/>
    <s v="Chest Pain"/>
    <n v="78537"/>
    <n v="0"/>
    <x v="1"/>
    <x v="0"/>
  </r>
  <r>
    <x v="403"/>
    <s v="Simran Patel"/>
    <n v="54"/>
    <x v="1"/>
    <x v="1"/>
    <s v="Dr. Dev"/>
    <d v="2025-01-27T00:00:00"/>
    <s v="Asthma"/>
    <n v="72057"/>
    <n v="4"/>
    <x v="0"/>
    <x v="2"/>
  </r>
  <r>
    <x v="404"/>
    <s v="Meera Singh"/>
    <n v="21"/>
    <x v="1"/>
    <x v="4"/>
    <s v="Dr. Arjun"/>
    <d v="2025-01-20T00:00:00"/>
    <s v="Arrhythmia"/>
    <n v="3612"/>
    <n v="8"/>
    <x v="1"/>
    <x v="1"/>
  </r>
  <r>
    <x v="405"/>
    <s v="Aman Kumar"/>
    <n v="30"/>
    <x v="1"/>
    <x v="5"/>
    <s v="Dr. Raj"/>
    <d v="2025-01-11T00:00:00"/>
    <s v="Flu"/>
    <n v="106175"/>
    <n v="5"/>
    <x v="0"/>
    <x v="1"/>
  </r>
  <r>
    <x v="406"/>
    <s v="Sara Shaikh"/>
    <n v="63"/>
    <x v="1"/>
    <x v="2"/>
    <s v="Dr. Sneha"/>
    <d v="2025-01-25T00:00:00"/>
    <s v="PCOD"/>
    <n v="111949"/>
    <n v="8"/>
    <x v="1"/>
    <x v="1"/>
  </r>
  <r>
    <x v="407"/>
    <s v="Neha Sharma"/>
    <n v="55"/>
    <x v="1"/>
    <x v="5"/>
    <s v="Dr. Raj"/>
    <d v="2025-01-11T00:00:00"/>
    <s v="Fever"/>
    <n v="43284"/>
    <n v="2"/>
    <x v="0"/>
    <x v="0"/>
  </r>
  <r>
    <x v="408"/>
    <s v="Rehan Sheikh"/>
    <n v="59"/>
    <x v="0"/>
    <x v="3"/>
    <s v="Dr. Nidhi"/>
    <d v="2025-01-06T00:00:00"/>
    <s v="Chest Pain"/>
    <n v="30260"/>
    <n v="10"/>
    <x v="0"/>
    <x v="2"/>
  </r>
  <r>
    <x v="409"/>
    <s v="Ritik Soni"/>
    <n v="26"/>
    <x v="1"/>
    <x v="5"/>
    <s v="Dr. Raj"/>
    <d v="2025-01-24T00:00:00"/>
    <s v="Hypertension"/>
    <n v="93013"/>
    <n v="9"/>
    <x v="1"/>
    <x v="0"/>
  </r>
  <r>
    <x v="410"/>
    <s v="Vikram Rao"/>
    <n v="56"/>
    <x v="0"/>
    <x v="4"/>
    <s v="Dr. Arjun"/>
    <d v="2025-01-30T00:00:00"/>
    <s v="Arrhythmia"/>
    <n v="84839"/>
    <n v="9"/>
    <x v="0"/>
    <x v="2"/>
  </r>
  <r>
    <x v="411"/>
    <s v="Anjali Mehta"/>
    <n v="65"/>
    <x v="1"/>
    <x v="2"/>
    <s v="Dr. Sneha"/>
    <d v="2025-01-08T00:00:00"/>
    <s v="Chest Pain"/>
    <n v="42879"/>
    <n v="2"/>
    <x v="0"/>
    <x v="0"/>
  </r>
  <r>
    <x v="412"/>
    <s v="Anjali Mehta"/>
    <n v="46"/>
    <x v="1"/>
    <x v="0"/>
    <s v="Dr. Vivek"/>
    <d v="2025-01-09T00:00:00"/>
    <s v="Back Pain"/>
    <n v="33707"/>
    <n v="11"/>
    <x v="0"/>
    <x v="2"/>
  </r>
  <r>
    <x v="413"/>
    <s v="Arif Shaikh"/>
    <n v="64"/>
    <x v="1"/>
    <x v="5"/>
    <s v="Dr. Raj"/>
    <d v="2025-01-02T00:00:00"/>
    <s v="Pregnancy Check"/>
    <n v="58438"/>
    <n v="11"/>
    <x v="1"/>
    <x v="1"/>
  </r>
  <r>
    <x v="414"/>
    <s v="Rehan Sheikh"/>
    <n v="74"/>
    <x v="0"/>
    <x v="3"/>
    <s v="Dr. Nidhi"/>
    <d v="2025-01-12T00:00:00"/>
    <s v="Pregnancy Check"/>
    <n v="14294"/>
    <n v="7"/>
    <x v="0"/>
    <x v="1"/>
  </r>
  <r>
    <x v="415"/>
    <s v="Meera Singh"/>
    <n v="69"/>
    <x v="1"/>
    <x v="3"/>
    <s v="Dr. Nidhi"/>
    <d v="2025-01-10T00:00:00"/>
    <s v="Hypertension"/>
    <n v="42774"/>
    <n v="4"/>
    <x v="0"/>
    <x v="1"/>
  </r>
  <r>
    <x v="416"/>
    <s v="Vikram Rao"/>
    <n v="74"/>
    <x v="0"/>
    <x v="5"/>
    <s v="Dr. Raj"/>
    <d v="2025-01-06T00:00:00"/>
    <s v="Fracture"/>
    <n v="72702"/>
    <n v="1"/>
    <x v="1"/>
    <x v="0"/>
  </r>
  <r>
    <x v="417"/>
    <s v="Rehan Sheikh"/>
    <n v="63"/>
    <x v="1"/>
    <x v="1"/>
    <s v="Dr. Dev"/>
    <d v="2025-01-14T00:00:00"/>
    <s v="Flu"/>
    <n v="80602"/>
    <n v="6"/>
    <x v="0"/>
    <x v="1"/>
  </r>
  <r>
    <x v="418"/>
    <s v="Anjali Mehta"/>
    <n v="31"/>
    <x v="1"/>
    <x v="4"/>
    <s v="Dr. Arjun"/>
    <d v="2025-01-14T00:00:00"/>
    <s v="Stroke"/>
    <n v="87585"/>
    <n v="4"/>
    <x v="1"/>
    <x v="1"/>
  </r>
  <r>
    <x v="419"/>
    <s v="Rohan Verma"/>
    <n v="43"/>
    <x v="0"/>
    <x v="4"/>
    <s v="Dr. Arjun"/>
    <d v="2025-01-05T00:00:00"/>
    <s v="Migraine"/>
    <n v="48294"/>
    <n v="0"/>
    <x v="1"/>
    <x v="1"/>
  </r>
  <r>
    <x v="420"/>
    <s v="Aman Kumar"/>
    <n v="48"/>
    <x v="1"/>
    <x v="5"/>
    <s v="Dr. Raj"/>
    <d v="2025-01-04T00:00:00"/>
    <s v="Hypertension"/>
    <n v="28125"/>
    <n v="2"/>
    <x v="1"/>
    <x v="1"/>
  </r>
  <r>
    <x v="421"/>
    <s v="Arif Shaikh"/>
    <n v="37"/>
    <x v="0"/>
    <x v="3"/>
    <s v="Dr. Nidhi"/>
    <d v="2025-01-16T00:00:00"/>
    <s v="Asthma"/>
    <n v="118293"/>
    <n v="10"/>
    <x v="1"/>
    <x v="1"/>
  </r>
  <r>
    <x v="422"/>
    <s v="Yusuf Khan"/>
    <n v="42"/>
    <x v="1"/>
    <x v="0"/>
    <s v="Dr. Vivek"/>
    <d v="2025-01-12T00:00:00"/>
    <s v="Pregnancy Check"/>
    <n v="49418"/>
    <n v="2"/>
    <x v="1"/>
    <x v="1"/>
  </r>
  <r>
    <x v="423"/>
    <s v="Divya Rao"/>
    <n v="47"/>
    <x v="0"/>
    <x v="5"/>
    <s v="Dr. Raj"/>
    <d v="2025-01-08T00:00:00"/>
    <s v="Stroke"/>
    <n v="74956"/>
    <n v="0"/>
    <x v="0"/>
    <x v="0"/>
  </r>
  <r>
    <x v="424"/>
    <s v="Arif Shaikh"/>
    <n v="23"/>
    <x v="0"/>
    <x v="0"/>
    <s v="Dr. Vivek"/>
    <d v="2025-01-26T00:00:00"/>
    <s v="Infection"/>
    <n v="100150"/>
    <n v="9"/>
    <x v="0"/>
    <x v="0"/>
  </r>
  <r>
    <x v="425"/>
    <s v="Neha Sharma"/>
    <n v="70"/>
    <x v="0"/>
    <x v="4"/>
    <s v="Dr. Arjun"/>
    <d v="2025-01-31T00:00:00"/>
    <s v="Asthma"/>
    <n v="76066"/>
    <n v="3"/>
    <x v="1"/>
    <x v="2"/>
  </r>
  <r>
    <x v="426"/>
    <s v="Neha Sharma"/>
    <n v="75"/>
    <x v="1"/>
    <x v="4"/>
    <s v="Dr. Arjun"/>
    <d v="2025-01-17T00:00:00"/>
    <s v="Kidney Stone"/>
    <n v="105916"/>
    <n v="9"/>
    <x v="0"/>
    <x v="1"/>
  </r>
  <r>
    <x v="427"/>
    <s v="Vikram Rao"/>
    <n v="78"/>
    <x v="1"/>
    <x v="3"/>
    <s v="Dr. Nidhi"/>
    <d v="2025-01-07T00:00:00"/>
    <s v="Back Pain"/>
    <n v="17539"/>
    <n v="0"/>
    <x v="1"/>
    <x v="1"/>
  </r>
  <r>
    <x v="428"/>
    <s v="Imran Ansari"/>
    <n v="30"/>
    <x v="1"/>
    <x v="0"/>
    <s v="Dr. Vivek"/>
    <d v="2025-01-27T00:00:00"/>
    <s v="Stroke"/>
    <n v="42910"/>
    <n v="11"/>
    <x v="0"/>
    <x v="1"/>
  </r>
  <r>
    <x v="429"/>
    <s v="Yusuf Khan"/>
    <n v="43"/>
    <x v="0"/>
    <x v="3"/>
    <s v="Dr. Nidhi"/>
    <d v="2025-01-28T00:00:00"/>
    <s v="Stroke"/>
    <n v="69116"/>
    <n v="7"/>
    <x v="0"/>
    <x v="0"/>
  </r>
  <r>
    <x v="430"/>
    <s v="Sara Shaikh"/>
    <n v="51"/>
    <x v="0"/>
    <x v="1"/>
    <s v="Dr. Dev"/>
    <d v="2025-01-04T00:00:00"/>
    <s v="Infection"/>
    <n v="20613"/>
    <n v="2"/>
    <x v="0"/>
    <x v="1"/>
  </r>
  <r>
    <x v="431"/>
    <s v="Arif Shaikh"/>
    <n v="68"/>
    <x v="0"/>
    <x v="1"/>
    <s v="Dr. Dev"/>
    <d v="2025-01-28T00:00:00"/>
    <s v="Chest Pain"/>
    <n v="116067"/>
    <n v="6"/>
    <x v="1"/>
    <x v="2"/>
  </r>
  <r>
    <x v="432"/>
    <s v="Rehan Sheikh"/>
    <n v="54"/>
    <x v="0"/>
    <x v="0"/>
    <s v="Dr. Vivek"/>
    <d v="2025-01-02T00:00:00"/>
    <s v="Flu"/>
    <n v="37099"/>
    <n v="6"/>
    <x v="0"/>
    <x v="0"/>
  </r>
  <r>
    <x v="433"/>
    <s v="Neha Sharma"/>
    <n v="20"/>
    <x v="0"/>
    <x v="1"/>
    <s v="Dr. Dev"/>
    <d v="2025-01-29T00:00:00"/>
    <s v="Breast Cancer"/>
    <n v="91507"/>
    <n v="3"/>
    <x v="0"/>
    <x v="0"/>
  </r>
  <r>
    <x v="434"/>
    <s v="Farheen Syed"/>
    <n v="75"/>
    <x v="0"/>
    <x v="3"/>
    <s v="Dr. Nidhi"/>
    <d v="2025-01-01T00:00:00"/>
    <s v="Breast Cancer"/>
    <n v="108136"/>
    <n v="12"/>
    <x v="1"/>
    <x v="2"/>
  </r>
  <r>
    <x v="435"/>
    <s v="Rehan Sheikh"/>
    <n v="72"/>
    <x v="1"/>
    <x v="5"/>
    <s v="Dr. Raj"/>
    <d v="2025-01-28T00:00:00"/>
    <s v="Arrhythmia"/>
    <n v="18614"/>
    <n v="4"/>
    <x v="1"/>
    <x v="2"/>
  </r>
  <r>
    <x v="436"/>
    <s v="Imran Ansari"/>
    <n v="56"/>
    <x v="1"/>
    <x v="5"/>
    <s v="Dr. Raj"/>
    <d v="2025-01-07T00:00:00"/>
    <s v="Diabetes"/>
    <n v="28707"/>
    <n v="6"/>
    <x v="1"/>
    <x v="0"/>
  </r>
  <r>
    <x v="437"/>
    <s v="Rohan Verma"/>
    <n v="50"/>
    <x v="1"/>
    <x v="5"/>
    <s v="Dr. Raj"/>
    <d v="2025-01-03T00:00:00"/>
    <s v="Fever"/>
    <n v="94004"/>
    <n v="8"/>
    <x v="1"/>
    <x v="1"/>
  </r>
  <r>
    <x v="438"/>
    <s v="Sara Shaikh"/>
    <n v="19"/>
    <x v="1"/>
    <x v="1"/>
    <s v="Dr. Dev"/>
    <d v="2025-01-07T00:00:00"/>
    <s v="Back Pain"/>
    <n v="110704"/>
    <n v="0"/>
    <x v="0"/>
    <x v="1"/>
  </r>
  <r>
    <x v="439"/>
    <s v="Rohan Verma"/>
    <n v="76"/>
    <x v="0"/>
    <x v="3"/>
    <s v="Dr. Nidhi"/>
    <d v="2025-01-23T00:00:00"/>
    <s v="Back Pain"/>
    <n v="36910"/>
    <n v="5"/>
    <x v="1"/>
    <x v="0"/>
  </r>
  <r>
    <x v="440"/>
    <s v="Arif Shaikh"/>
    <n v="61"/>
    <x v="1"/>
    <x v="3"/>
    <s v="Dr. Nidhi"/>
    <d v="2025-01-08T00:00:00"/>
    <s v="Chest Pain"/>
    <n v="65066"/>
    <n v="9"/>
    <x v="1"/>
    <x v="1"/>
  </r>
  <r>
    <x v="441"/>
    <s v="Sara Shaikh"/>
    <n v="53"/>
    <x v="0"/>
    <x v="3"/>
    <s v="Dr. Nidhi"/>
    <d v="2025-01-12T00:00:00"/>
    <s v="Flu"/>
    <n v="110792"/>
    <n v="4"/>
    <x v="0"/>
    <x v="2"/>
  </r>
  <r>
    <x v="442"/>
    <s v="Neha Sharma"/>
    <n v="21"/>
    <x v="1"/>
    <x v="4"/>
    <s v="Dr. Arjun"/>
    <d v="2025-01-28T00:00:00"/>
    <s v="Back Pain"/>
    <n v="113343"/>
    <n v="3"/>
    <x v="0"/>
    <x v="0"/>
  </r>
  <r>
    <x v="443"/>
    <s v="Farheen Syed"/>
    <n v="59"/>
    <x v="0"/>
    <x v="2"/>
    <s v="Dr. Sneha"/>
    <d v="2025-01-17T00:00:00"/>
    <s v="Hypertension"/>
    <n v="114328"/>
    <n v="12"/>
    <x v="0"/>
    <x v="2"/>
  </r>
  <r>
    <x v="444"/>
    <s v="Vikram Rao"/>
    <n v="56"/>
    <x v="1"/>
    <x v="2"/>
    <s v="Dr. Sneha"/>
    <d v="2025-01-08T00:00:00"/>
    <s v="Stroke"/>
    <n v="80736"/>
    <n v="12"/>
    <x v="1"/>
    <x v="0"/>
  </r>
  <r>
    <x v="445"/>
    <s v="Farheen Syed"/>
    <n v="45"/>
    <x v="0"/>
    <x v="0"/>
    <s v="Dr. Vivek"/>
    <d v="2025-01-28T00:00:00"/>
    <s v="Chest Pain"/>
    <n v="61161"/>
    <n v="4"/>
    <x v="0"/>
    <x v="2"/>
  </r>
  <r>
    <x v="446"/>
    <s v="Pooja Gupta"/>
    <n v="70"/>
    <x v="0"/>
    <x v="5"/>
    <s v="Dr. Raj"/>
    <d v="2025-01-19T00:00:00"/>
    <s v="PCOD"/>
    <n v="1963"/>
    <n v="8"/>
    <x v="1"/>
    <x v="0"/>
  </r>
  <r>
    <x v="447"/>
    <s v="Aman Kumar"/>
    <n v="56"/>
    <x v="0"/>
    <x v="0"/>
    <s v="Dr. Vivek"/>
    <d v="2025-01-10T00:00:00"/>
    <s v="PCOD"/>
    <n v="64142"/>
    <n v="1"/>
    <x v="1"/>
    <x v="2"/>
  </r>
  <r>
    <x v="448"/>
    <s v="Anjali Mehta"/>
    <n v="73"/>
    <x v="0"/>
    <x v="0"/>
    <s v="Dr. Vivek"/>
    <d v="2025-01-09T00:00:00"/>
    <s v="Fever"/>
    <n v="25688"/>
    <n v="2"/>
    <x v="0"/>
    <x v="1"/>
  </r>
  <r>
    <x v="449"/>
    <s v="Neha Sharma"/>
    <n v="60"/>
    <x v="0"/>
    <x v="1"/>
    <s v="Dr. Dev"/>
    <d v="2025-01-22T00:00:00"/>
    <s v="Lung Cancer"/>
    <n v="95540"/>
    <n v="0"/>
    <x v="1"/>
    <x v="2"/>
  </r>
  <r>
    <x v="450"/>
    <s v="Imran Ansari"/>
    <n v="43"/>
    <x v="0"/>
    <x v="5"/>
    <s v="Dr. Raj"/>
    <d v="2025-01-24T00:00:00"/>
    <s v="Migraine"/>
    <n v="77418"/>
    <n v="11"/>
    <x v="0"/>
    <x v="2"/>
  </r>
  <r>
    <x v="451"/>
    <s v="Kunal Sharma"/>
    <n v="61"/>
    <x v="0"/>
    <x v="0"/>
    <s v="Dr. Vivek"/>
    <d v="2025-01-30T00:00:00"/>
    <s v="Chest Pain"/>
    <n v="67494"/>
    <n v="4"/>
    <x v="0"/>
    <x v="0"/>
  </r>
  <r>
    <x v="452"/>
    <s v="Vikram Rao"/>
    <n v="36"/>
    <x v="1"/>
    <x v="1"/>
    <s v="Dr. Dev"/>
    <d v="2025-01-16T00:00:00"/>
    <s v="Lung Cancer"/>
    <n v="98113"/>
    <n v="4"/>
    <x v="0"/>
    <x v="0"/>
  </r>
  <r>
    <x v="453"/>
    <s v="Meera Singh"/>
    <n v="32"/>
    <x v="0"/>
    <x v="5"/>
    <s v="Dr. Raj"/>
    <d v="2025-01-08T00:00:00"/>
    <s v="Fever"/>
    <n v="56112"/>
    <n v="12"/>
    <x v="1"/>
    <x v="2"/>
  </r>
  <r>
    <x v="454"/>
    <s v="Sara Shaikh"/>
    <n v="36"/>
    <x v="0"/>
    <x v="5"/>
    <s v="Dr. Raj"/>
    <d v="2025-01-28T00:00:00"/>
    <s v="PCOD"/>
    <n v="62674"/>
    <n v="0"/>
    <x v="0"/>
    <x v="2"/>
  </r>
  <r>
    <x v="455"/>
    <s v="Pooja Gupta"/>
    <n v="25"/>
    <x v="0"/>
    <x v="2"/>
    <s v="Dr. Sneha"/>
    <d v="2025-01-17T00:00:00"/>
    <s v="Fever"/>
    <n v="55146"/>
    <n v="0"/>
    <x v="0"/>
    <x v="1"/>
  </r>
  <r>
    <x v="456"/>
    <s v="Anjali Mehta"/>
    <n v="44"/>
    <x v="0"/>
    <x v="2"/>
    <s v="Dr. Sneha"/>
    <d v="2025-01-05T00:00:00"/>
    <s v="Breast Cancer"/>
    <n v="114035"/>
    <n v="11"/>
    <x v="0"/>
    <x v="1"/>
  </r>
  <r>
    <x v="457"/>
    <s v="Anjali Mehta"/>
    <n v="58"/>
    <x v="1"/>
    <x v="3"/>
    <s v="Dr. Nidhi"/>
    <d v="2025-01-11T00:00:00"/>
    <s v="Migraine"/>
    <n v="1617"/>
    <n v="7"/>
    <x v="1"/>
    <x v="1"/>
  </r>
  <r>
    <x v="458"/>
    <s v="Sara Shaikh"/>
    <n v="66"/>
    <x v="1"/>
    <x v="2"/>
    <s v="Dr. Sneha"/>
    <d v="2025-01-16T00:00:00"/>
    <s v="Fracture"/>
    <n v="17961"/>
    <n v="9"/>
    <x v="1"/>
    <x v="0"/>
  </r>
  <r>
    <x v="459"/>
    <s v="Neha Sharma"/>
    <n v="45"/>
    <x v="0"/>
    <x v="3"/>
    <s v="Dr. Nidhi"/>
    <d v="2025-01-13T00:00:00"/>
    <s v="Hypertension"/>
    <n v="5944"/>
    <n v="8"/>
    <x v="0"/>
    <x v="0"/>
  </r>
  <r>
    <x v="460"/>
    <s v="Aisha Khan"/>
    <n v="75"/>
    <x v="0"/>
    <x v="5"/>
    <s v="Dr. Raj"/>
    <d v="2025-01-25T00:00:00"/>
    <s v="Kidney Stone"/>
    <n v="25979"/>
    <n v="0"/>
    <x v="0"/>
    <x v="0"/>
  </r>
  <r>
    <x v="461"/>
    <s v="Kunal Sharma"/>
    <n v="32"/>
    <x v="0"/>
    <x v="0"/>
    <s v="Dr. Vivek"/>
    <d v="2025-01-10T00:00:00"/>
    <s v="Lung Cancer"/>
    <n v="14462"/>
    <n v="6"/>
    <x v="1"/>
    <x v="1"/>
  </r>
  <r>
    <x v="462"/>
    <s v="Rohan Verma"/>
    <n v="37"/>
    <x v="0"/>
    <x v="4"/>
    <s v="Dr. Arjun"/>
    <d v="2025-01-15T00:00:00"/>
    <s v="Kidney Stone"/>
    <n v="79167"/>
    <n v="8"/>
    <x v="1"/>
    <x v="2"/>
  </r>
  <r>
    <x v="463"/>
    <s v="Simran Patel"/>
    <n v="39"/>
    <x v="0"/>
    <x v="0"/>
    <s v="Dr. Vivek"/>
    <d v="2025-01-12T00:00:00"/>
    <s v="Back Pain"/>
    <n v="22611"/>
    <n v="12"/>
    <x v="1"/>
    <x v="1"/>
  </r>
  <r>
    <x v="464"/>
    <s v="Kunal Sharma"/>
    <n v="64"/>
    <x v="1"/>
    <x v="2"/>
    <s v="Dr. Sneha"/>
    <d v="2025-01-07T00:00:00"/>
    <s v="Hypertension"/>
    <n v="78292"/>
    <n v="8"/>
    <x v="0"/>
    <x v="1"/>
  </r>
  <r>
    <x v="465"/>
    <s v="Rohan Verma"/>
    <n v="42"/>
    <x v="0"/>
    <x v="5"/>
    <s v="Dr. Raj"/>
    <d v="2025-01-25T00:00:00"/>
    <s v="Migraine"/>
    <n v="78846"/>
    <n v="0"/>
    <x v="0"/>
    <x v="0"/>
  </r>
  <r>
    <x v="466"/>
    <s v="Rohan Verma"/>
    <n v="62"/>
    <x v="1"/>
    <x v="4"/>
    <s v="Dr. Arjun"/>
    <d v="2025-01-14T00:00:00"/>
    <s v="Diabetes"/>
    <n v="50840"/>
    <n v="1"/>
    <x v="1"/>
    <x v="2"/>
  </r>
  <r>
    <x v="467"/>
    <s v="Simran Patel"/>
    <n v="31"/>
    <x v="1"/>
    <x v="0"/>
    <s v="Dr. Vivek"/>
    <d v="2025-01-10T00:00:00"/>
    <s v="Infection"/>
    <n v="87725"/>
    <n v="1"/>
    <x v="1"/>
    <x v="0"/>
  </r>
  <r>
    <x v="468"/>
    <s v="Simran Patel"/>
    <n v="44"/>
    <x v="1"/>
    <x v="1"/>
    <s v="Dr. Dev"/>
    <d v="2025-01-17T00:00:00"/>
    <s v="PCOD"/>
    <n v="38054"/>
    <n v="1"/>
    <x v="0"/>
    <x v="2"/>
  </r>
  <r>
    <x v="469"/>
    <s v="Aman Kumar"/>
    <n v="30"/>
    <x v="0"/>
    <x v="2"/>
    <s v="Dr. Sneha"/>
    <d v="2025-01-27T00:00:00"/>
    <s v="Kidney Stone"/>
    <n v="27433"/>
    <n v="5"/>
    <x v="1"/>
    <x v="2"/>
  </r>
  <r>
    <x v="470"/>
    <s v="Rohan Verma"/>
    <n v="53"/>
    <x v="0"/>
    <x v="2"/>
    <s v="Dr. Sneha"/>
    <d v="2025-01-30T00:00:00"/>
    <s v="Back Pain"/>
    <n v="91204"/>
    <n v="7"/>
    <x v="1"/>
    <x v="1"/>
  </r>
  <r>
    <x v="471"/>
    <s v="Aisha Khan"/>
    <n v="60"/>
    <x v="1"/>
    <x v="4"/>
    <s v="Dr. Arjun"/>
    <d v="2025-01-30T00:00:00"/>
    <s v="PCOD"/>
    <n v="110475"/>
    <n v="9"/>
    <x v="1"/>
    <x v="1"/>
  </r>
  <r>
    <x v="472"/>
    <s v="Pooja Gupta"/>
    <n v="22"/>
    <x v="1"/>
    <x v="4"/>
    <s v="Dr. Arjun"/>
    <d v="2025-01-29T00:00:00"/>
    <s v="Stroke"/>
    <n v="85454"/>
    <n v="3"/>
    <x v="1"/>
    <x v="2"/>
  </r>
  <r>
    <x v="473"/>
    <s v="Divya Rao"/>
    <n v="21"/>
    <x v="1"/>
    <x v="5"/>
    <s v="Dr. Raj"/>
    <d v="2025-01-27T00:00:00"/>
    <s v="Flu"/>
    <n v="115575"/>
    <n v="0"/>
    <x v="1"/>
    <x v="2"/>
  </r>
  <r>
    <x v="474"/>
    <s v="Anjali Mehta"/>
    <n v="45"/>
    <x v="1"/>
    <x v="0"/>
    <s v="Dr. Vivek"/>
    <d v="2025-01-04T00:00:00"/>
    <s v="Migraine"/>
    <n v="2267"/>
    <n v="2"/>
    <x v="0"/>
    <x v="2"/>
  </r>
  <r>
    <x v="475"/>
    <s v="Divya Rao"/>
    <n v="79"/>
    <x v="0"/>
    <x v="5"/>
    <s v="Dr. Raj"/>
    <d v="2025-01-29T00:00:00"/>
    <s v="Fracture"/>
    <n v="49840"/>
    <n v="5"/>
    <x v="0"/>
    <x v="1"/>
  </r>
  <r>
    <x v="476"/>
    <s v="Neha Sharma"/>
    <n v="79"/>
    <x v="0"/>
    <x v="3"/>
    <s v="Dr. Nidhi"/>
    <d v="2025-01-09T00:00:00"/>
    <s v="Pregnancy Check"/>
    <n v="91426"/>
    <n v="7"/>
    <x v="1"/>
    <x v="0"/>
  </r>
  <r>
    <x v="477"/>
    <s v="Arif Shaikh"/>
    <n v="26"/>
    <x v="1"/>
    <x v="2"/>
    <s v="Dr. Sneha"/>
    <d v="2025-01-31T00:00:00"/>
    <s v="Flu"/>
    <n v="14593"/>
    <n v="6"/>
    <x v="1"/>
    <x v="0"/>
  </r>
  <r>
    <x v="478"/>
    <s v="Divya Rao"/>
    <n v="29"/>
    <x v="0"/>
    <x v="0"/>
    <s v="Dr. Vivek"/>
    <d v="2025-01-25T00:00:00"/>
    <s v="Chest Pain"/>
    <n v="81131"/>
    <n v="0"/>
    <x v="0"/>
    <x v="2"/>
  </r>
  <r>
    <x v="479"/>
    <s v="Arif Shaikh"/>
    <n v="74"/>
    <x v="0"/>
    <x v="3"/>
    <s v="Dr. Nidhi"/>
    <d v="2025-01-15T00:00:00"/>
    <s v="Migraine"/>
    <n v="9301"/>
    <n v="4"/>
    <x v="1"/>
    <x v="1"/>
  </r>
  <r>
    <x v="480"/>
    <s v="Pooja Gupta"/>
    <n v="67"/>
    <x v="1"/>
    <x v="0"/>
    <s v="Dr. Vivek"/>
    <d v="2025-01-31T00:00:00"/>
    <s v="Breast Cancer"/>
    <n v="69039"/>
    <n v="8"/>
    <x v="0"/>
    <x v="2"/>
  </r>
  <r>
    <x v="481"/>
    <s v="Kunal Sharma"/>
    <n v="48"/>
    <x v="0"/>
    <x v="0"/>
    <s v="Dr. Vivek"/>
    <d v="2025-01-22T00:00:00"/>
    <s v="Pregnancy Check"/>
    <n v="20484"/>
    <n v="8"/>
    <x v="0"/>
    <x v="1"/>
  </r>
  <r>
    <x v="482"/>
    <s v="Vikram Rao"/>
    <n v="50"/>
    <x v="0"/>
    <x v="0"/>
    <s v="Dr. Vivek"/>
    <d v="2025-01-28T00:00:00"/>
    <s v="Asthma"/>
    <n v="114956"/>
    <n v="2"/>
    <x v="0"/>
    <x v="2"/>
  </r>
  <r>
    <x v="483"/>
    <s v="Kunal Sharma"/>
    <n v="39"/>
    <x v="0"/>
    <x v="5"/>
    <s v="Dr. Raj"/>
    <d v="2025-01-02T00:00:00"/>
    <s v="Kidney Stone"/>
    <n v="30190"/>
    <n v="8"/>
    <x v="1"/>
    <x v="2"/>
  </r>
  <r>
    <x v="484"/>
    <s v="Meera Singh"/>
    <n v="47"/>
    <x v="0"/>
    <x v="2"/>
    <s v="Dr. Sneha"/>
    <d v="2025-01-26T00:00:00"/>
    <s v="Diabetes"/>
    <n v="12536"/>
    <n v="7"/>
    <x v="1"/>
    <x v="2"/>
  </r>
  <r>
    <x v="485"/>
    <s v="Rehan Sheikh"/>
    <n v="65"/>
    <x v="1"/>
    <x v="4"/>
    <s v="Dr. Arjun"/>
    <d v="2025-01-04T00:00:00"/>
    <s v="Pregnancy Check"/>
    <n v="55046"/>
    <n v="0"/>
    <x v="0"/>
    <x v="1"/>
  </r>
  <r>
    <x v="486"/>
    <s v="Aman Kumar"/>
    <n v="58"/>
    <x v="0"/>
    <x v="1"/>
    <s v="Dr. Dev"/>
    <d v="2025-01-29T00:00:00"/>
    <s v="Kidney Stone"/>
    <n v="74706"/>
    <n v="3"/>
    <x v="1"/>
    <x v="2"/>
  </r>
  <r>
    <x v="487"/>
    <s v="Rohan Verma"/>
    <n v="70"/>
    <x v="1"/>
    <x v="5"/>
    <s v="Dr. Raj"/>
    <d v="2025-01-28T00:00:00"/>
    <s v="Diabetes"/>
    <n v="44512"/>
    <n v="8"/>
    <x v="1"/>
    <x v="0"/>
  </r>
  <r>
    <x v="488"/>
    <s v="Sadiq Qureshi"/>
    <n v="63"/>
    <x v="0"/>
    <x v="0"/>
    <s v="Dr. Vivek"/>
    <d v="2025-01-04T00:00:00"/>
    <s v="PCOD"/>
    <n v="100525"/>
    <n v="10"/>
    <x v="0"/>
    <x v="1"/>
  </r>
  <r>
    <x v="489"/>
    <s v="Sadiq Qureshi"/>
    <n v="71"/>
    <x v="0"/>
    <x v="5"/>
    <s v="Dr. Raj"/>
    <d v="2025-01-18T00:00:00"/>
    <s v="Kidney Stone"/>
    <n v="50006"/>
    <n v="11"/>
    <x v="0"/>
    <x v="1"/>
  </r>
  <r>
    <x v="490"/>
    <s v="Rehan Sheikh"/>
    <n v="26"/>
    <x v="0"/>
    <x v="2"/>
    <s v="Dr. Sneha"/>
    <d v="2025-01-04T00:00:00"/>
    <s v="Stroke"/>
    <n v="81065"/>
    <n v="3"/>
    <x v="0"/>
    <x v="1"/>
  </r>
  <r>
    <x v="491"/>
    <s v="Sana Ali"/>
    <n v="47"/>
    <x v="1"/>
    <x v="3"/>
    <s v="Dr. Nidhi"/>
    <d v="2025-01-23T00:00:00"/>
    <s v="Breast Cancer"/>
    <n v="15125"/>
    <n v="12"/>
    <x v="1"/>
    <x v="1"/>
  </r>
  <r>
    <x v="492"/>
    <s v="Sara Shaikh"/>
    <n v="25"/>
    <x v="0"/>
    <x v="0"/>
    <s v="Dr. Vivek"/>
    <d v="2025-01-15T00:00:00"/>
    <s v="Kidney Stone"/>
    <n v="18647"/>
    <n v="7"/>
    <x v="0"/>
    <x v="0"/>
  </r>
  <r>
    <x v="493"/>
    <s v="Rohan Verma"/>
    <n v="53"/>
    <x v="0"/>
    <x v="0"/>
    <s v="Dr. Vivek"/>
    <d v="2025-01-27T00:00:00"/>
    <s v="Asthma"/>
    <n v="67628"/>
    <n v="12"/>
    <x v="0"/>
    <x v="0"/>
  </r>
  <r>
    <x v="494"/>
    <s v="Vikram Rao"/>
    <n v="64"/>
    <x v="1"/>
    <x v="1"/>
    <s v="Dr. Dev"/>
    <d v="2025-01-04T00:00:00"/>
    <s v="Pregnancy Check"/>
    <n v="87182"/>
    <n v="9"/>
    <x v="1"/>
    <x v="0"/>
  </r>
  <r>
    <x v="495"/>
    <s v="Imran Ansari"/>
    <n v="80"/>
    <x v="1"/>
    <x v="3"/>
    <s v="Dr. Nidhi"/>
    <d v="2025-01-09T00:00:00"/>
    <s v="Pregnancy Check"/>
    <n v="45939"/>
    <n v="4"/>
    <x v="1"/>
    <x v="1"/>
  </r>
  <r>
    <x v="496"/>
    <s v="Imran Ansari"/>
    <n v="56"/>
    <x v="0"/>
    <x v="2"/>
    <s v="Dr. Sneha"/>
    <d v="2025-01-27T00:00:00"/>
    <s v="Breast Cancer"/>
    <n v="94306"/>
    <n v="11"/>
    <x v="0"/>
    <x v="1"/>
  </r>
  <r>
    <x v="497"/>
    <s v="Aman Kumar"/>
    <n v="63"/>
    <x v="0"/>
    <x v="2"/>
    <s v="Dr. Sneha"/>
    <d v="2025-01-22T00:00:00"/>
    <s v="Chest Pain"/>
    <n v="89129"/>
    <n v="2"/>
    <x v="0"/>
    <x v="0"/>
  </r>
  <r>
    <x v="498"/>
    <s v="Anjali Mehta"/>
    <n v="63"/>
    <x v="1"/>
    <x v="1"/>
    <s v="Dr. Dev"/>
    <d v="2025-01-25T00:00:00"/>
    <s v="Chest Pain"/>
    <n v="74699"/>
    <n v="7"/>
    <x v="1"/>
    <x v="0"/>
  </r>
  <r>
    <x v="499"/>
    <s v="Yusuf Khan"/>
    <n v="36"/>
    <x v="0"/>
    <x v="0"/>
    <s v="Dr. Vivek"/>
    <d v="2025-01-26T00:00:00"/>
    <s v="Hypertension"/>
    <n v="69515"/>
    <n v="1"/>
    <x v="0"/>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data>
    <tabular pivotCacheId="9562479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2000000}" sourceName="Department">
  <data>
    <tabular pivotCacheId="956247975">
      <items count="6">
        <i x="4" s="1"/>
        <i x="0" s="1"/>
        <i x="3" s="1"/>
        <i x="2"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00000000-0013-0000-FFFF-FFFF03000000}" sourceName="Insurance">
  <data>
    <tabular pivotCacheId="95624797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00000000-0013-0000-FFFF-FFFF04000000}" sourceName="Outcome">
  <data>
    <tabular pivotCacheId="95624797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style="SlicerStyleDark4" rowHeight="234950"/>
  <slicer name="Department" xr10:uid="{00000000-0014-0000-FFFF-FFFF02000000}" cache="Slicer_Department" caption="Department" style="SlicerStyleDark6" rowHeight="234950"/>
  <slicer name="Insurance" xr10:uid="{00000000-0014-0000-FFFF-FFFF03000000}" cache="Slicer_Insurance" caption="Insurance" style="SlicerStyleDark4" rowHeight="234950"/>
  <slicer name="Outcome" xr10:uid="{00000000-0014-0000-FFFF-FFFF04000000}" cache="Slicer_Outcome" caption="Outcome"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501" totalsRowShown="0">
  <autoFilter ref="A1:L501" xr:uid="{00000000-0009-0000-0100-000001000000}"/>
  <tableColumns count="12">
    <tableColumn id="1" xr3:uid="{00000000-0010-0000-0000-000001000000}" name="PatientID"/>
    <tableColumn id="2" xr3:uid="{00000000-0010-0000-0000-000002000000}" name="Name"/>
    <tableColumn id="3" xr3:uid="{00000000-0010-0000-0000-000003000000}" name="Age"/>
    <tableColumn id="4" xr3:uid="{00000000-0010-0000-0000-000004000000}" name="Gender"/>
    <tableColumn id="5" xr3:uid="{00000000-0010-0000-0000-000005000000}" name="Department"/>
    <tableColumn id="6" xr3:uid="{00000000-0010-0000-0000-000006000000}" name="Doctor"/>
    <tableColumn id="7" xr3:uid="{00000000-0010-0000-0000-000007000000}" name="VisitDate" dataDxfId="0"/>
    <tableColumn id="8" xr3:uid="{00000000-0010-0000-0000-000008000000}" name="Diagnosis"/>
    <tableColumn id="9" xr3:uid="{00000000-0010-0000-0000-000009000000}" name="TreatmentCost"/>
    <tableColumn id="10" xr3:uid="{00000000-0010-0000-0000-00000A000000}" name="StayDays"/>
    <tableColumn id="11" xr3:uid="{00000000-0010-0000-0000-00000B000000}" name="Insurance"/>
    <tableColumn id="12" xr3:uid="{00000000-0010-0000-0000-00000C000000}" name="Outco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topLeftCell="A2" workbookViewId="0">
      <selection activeCell="D2" sqref="D2:D501"/>
    </sheetView>
  </sheetViews>
  <sheetFormatPr defaultRowHeight="13.8" x14ac:dyDescent="0.25"/>
  <cols>
    <col min="1" max="1" width="10.59765625" customWidth="1"/>
    <col min="2" max="2" width="11.8984375" customWidth="1"/>
    <col min="3" max="3" width="6" customWidth="1"/>
    <col min="4" max="4" width="8.8984375" customWidth="1"/>
    <col min="5" max="5" width="12.8984375" customWidth="1"/>
    <col min="6" max="6" width="8.69921875" customWidth="1"/>
    <col min="7" max="7" width="10.296875" customWidth="1"/>
    <col min="8" max="8" width="14.69921875" customWidth="1"/>
    <col min="9" max="9" width="15.296875" customWidth="1"/>
    <col min="10" max="10" width="10.5" customWidth="1"/>
    <col min="11" max="11" width="11" customWidth="1"/>
    <col min="12" max="12" width="1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v>19</v>
      </c>
      <c r="D2" t="s">
        <v>14</v>
      </c>
      <c r="E2" t="s">
        <v>15</v>
      </c>
      <c r="F2" t="s">
        <v>16</v>
      </c>
      <c r="G2" s="1">
        <v>45665</v>
      </c>
      <c r="H2" t="s">
        <v>17</v>
      </c>
      <c r="I2">
        <v>19289</v>
      </c>
      <c r="J2">
        <v>11</v>
      </c>
      <c r="K2" t="s">
        <v>18</v>
      </c>
      <c r="L2" t="s">
        <v>19</v>
      </c>
    </row>
    <row r="3" spans="1:12" x14ac:dyDescent="0.25">
      <c r="A3" t="s">
        <v>20</v>
      </c>
      <c r="B3" t="s">
        <v>21</v>
      </c>
      <c r="C3">
        <v>23</v>
      </c>
      <c r="D3" t="s">
        <v>14</v>
      </c>
      <c r="E3" t="s">
        <v>15</v>
      </c>
      <c r="F3" t="s">
        <v>16</v>
      </c>
      <c r="G3" s="1">
        <v>45659</v>
      </c>
      <c r="H3" t="s">
        <v>22</v>
      </c>
      <c r="I3">
        <v>13280</v>
      </c>
      <c r="J3">
        <v>3</v>
      </c>
      <c r="K3" t="s">
        <v>18</v>
      </c>
      <c r="L3" t="s">
        <v>19</v>
      </c>
    </row>
    <row r="4" spans="1:12" x14ac:dyDescent="0.25">
      <c r="A4" t="s">
        <v>23</v>
      </c>
      <c r="B4" t="s">
        <v>24</v>
      </c>
      <c r="C4">
        <v>53</v>
      </c>
      <c r="D4" t="s">
        <v>25</v>
      </c>
      <c r="E4" t="s">
        <v>26</v>
      </c>
      <c r="F4" t="s">
        <v>27</v>
      </c>
      <c r="G4" s="1">
        <v>45680</v>
      </c>
      <c r="H4" t="s">
        <v>28</v>
      </c>
      <c r="I4">
        <v>29893</v>
      </c>
      <c r="J4">
        <v>7</v>
      </c>
      <c r="K4" t="s">
        <v>29</v>
      </c>
      <c r="L4" t="s">
        <v>30</v>
      </c>
    </row>
    <row r="5" spans="1:12" x14ac:dyDescent="0.25">
      <c r="A5" t="s">
        <v>31</v>
      </c>
      <c r="B5" t="s">
        <v>32</v>
      </c>
      <c r="C5">
        <v>39</v>
      </c>
      <c r="D5" t="s">
        <v>14</v>
      </c>
      <c r="E5" t="s">
        <v>33</v>
      </c>
      <c r="F5" t="s">
        <v>34</v>
      </c>
      <c r="G5" s="1">
        <v>45662</v>
      </c>
      <c r="H5" t="s">
        <v>35</v>
      </c>
      <c r="I5">
        <v>101072</v>
      </c>
      <c r="J5">
        <v>5</v>
      </c>
      <c r="K5" t="s">
        <v>18</v>
      </c>
      <c r="L5" t="s">
        <v>30</v>
      </c>
    </row>
    <row r="6" spans="1:12" x14ac:dyDescent="0.25">
      <c r="A6" t="s">
        <v>36</v>
      </c>
      <c r="B6" t="s">
        <v>13</v>
      </c>
      <c r="C6">
        <v>40</v>
      </c>
      <c r="D6" t="s">
        <v>14</v>
      </c>
      <c r="E6" t="s">
        <v>37</v>
      </c>
      <c r="F6" t="s">
        <v>38</v>
      </c>
      <c r="G6" s="1">
        <v>45677</v>
      </c>
      <c r="H6" t="s">
        <v>39</v>
      </c>
      <c r="I6">
        <v>106791</v>
      </c>
      <c r="J6">
        <v>0</v>
      </c>
      <c r="K6" t="s">
        <v>29</v>
      </c>
      <c r="L6" t="s">
        <v>19</v>
      </c>
    </row>
    <row r="7" spans="1:12" x14ac:dyDescent="0.25">
      <c r="A7" t="s">
        <v>40</v>
      </c>
      <c r="B7" t="s">
        <v>41</v>
      </c>
      <c r="C7">
        <v>23</v>
      </c>
      <c r="D7" t="s">
        <v>14</v>
      </c>
      <c r="E7" t="s">
        <v>42</v>
      </c>
      <c r="F7" t="s">
        <v>43</v>
      </c>
      <c r="G7" s="1">
        <v>45684</v>
      </c>
      <c r="H7" t="s">
        <v>44</v>
      </c>
      <c r="I7">
        <v>76674</v>
      </c>
      <c r="J7">
        <v>3</v>
      </c>
      <c r="K7" t="s">
        <v>18</v>
      </c>
      <c r="L7" t="s">
        <v>30</v>
      </c>
    </row>
    <row r="8" spans="1:12" x14ac:dyDescent="0.25">
      <c r="A8" t="s">
        <v>45</v>
      </c>
      <c r="B8" t="s">
        <v>46</v>
      </c>
      <c r="C8">
        <v>67</v>
      </c>
      <c r="D8" t="s">
        <v>14</v>
      </c>
      <c r="E8" t="s">
        <v>15</v>
      </c>
      <c r="F8" t="s">
        <v>16</v>
      </c>
      <c r="G8" s="1">
        <v>45660</v>
      </c>
      <c r="H8" t="s">
        <v>17</v>
      </c>
      <c r="I8">
        <v>114571</v>
      </c>
      <c r="J8">
        <v>1</v>
      </c>
      <c r="K8" t="s">
        <v>29</v>
      </c>
      <c r="L8" t="s">
        <v>47</v>
      </c>
    </row>
    <row r="9" spans="1:12" x14ac:dyDescent="0.25">
      <c r="A9" t="s">
        <v>48</v>
      </c>
      <c r="B9" t="s">
        <v>49</v>
      </c>
      <c r="C9">
        <v>28</v>
      </c>
      <c r="D9" t="s">
        <v>14</v>
      </c>
      <c r="E9" t="s">
        <v>37</v>
      </c>
      <c r="F9" t="s">
        <v>38</v>
      </c>
      <c r="G9" s="1">
        <v>45669</v>
      </c>
      <c r="H9" t="s">
        <v>35</v>
      </c>
      <c r="I9">
        <v>88841</v>
      </c>
      <c r="J9">
        <v>4</v>
      </c>
      <c r="K9" t="s">
        <v>18</v>
      </c>
      <c r="L9" t="s">
        <v>19</v>
      </c>
    </row>
    <row r="10" spans="1:12" x14ac:dyDescent="0.25">
      <c r="A10" t="s">
        <v>50</v>
      </c>
      <c r="B10" t="s">
        <v>51</v>
      </c>
      <c r="C10">
        <v>52</v>
      </c>
      <c r="D10" t="s">
        <v>25</v>
      </c>
      <c r="E10" t="s">
        <v>15</v>
      </c>
      <c r="F10" t="s">
        <v>16</v>
      </c>
      <c r="G10" s="1">
        <v>45663</v>
      </c>
      <c r="H10" t="s">
        <v>52</v>
      </c>
      <c r="I10">
        <v>50735</v>
      </c>
      <c r="J10">
        <v>4</v>
      </c>
      <c r="K10" t="s">
        <v>18</v>
      </c>
      <c r="L10" t="s">
        <v>19</v>
      </c>
    </row>
    <row r="11" spans="1:12" x14ac:dyDescent="0.25">
      <c r="A11" t="s">
        <v>53</v>
      </c>
      <c r="B11" t="s">
        <v>54</v>
      </c>
      <c r="C11">
        <v>32</v>
      </c>
      <c r="D11" t="s">
        <v>25</v>
      </c>
      <c r="E11" t="s">
        <v>55</v>
      </c>
      <c r="F11" t="s">
        <v>56</v>
      </c>
      <c r="G11" s="1">
        <v>45683</v>
      </c>
      <c r="H11" t="s">
        <v>57</v>
      </c>
      <c r="I11">
        <v>53581</v>
      </c>
      <c r="J11">
        <v>4</v>
      </c>
      <c r="K11" t="s">
        <v>18</v>
      </c>
      <c r="L11" t="s">
        <v>30</v>
      </c>
    </row>
    <row r="12" spans="1:12" x14ac:dyDescent="0.25">
      <c r="A12" t="s">
        <v>58</v>
      </c>
      <c r="B12" t="s">
        <v>59</v>
      </c>
      <c r="C12">
        <v>31</v>
      </c>
      <c r="D12" t="s">
        <v>14</v>
      </c>
      <c r="E12" t="s">
        <v>26</v>
      </c>
      <c r="F12" t="s">
        <v>27</v>
      </c>
      <c r="G12" s="1">
        <v>45670</v>
      </c>
      <c r="H12" t="s">
        <v>52</v>
      </c>
      <c r="I12">
        <v>19726</v>
      </c>
      <c r="J12">
        <v>4</v>
      </c>
      <c r="K12" t="s">
        <v>18</v>
      </c>
      <c r="L12" t="s">
        <v>30</v>
      </c>
    </row>
    <row r="13" spans="1:12" x14ac:dyDescent="0.25">
      <c r="A13" t="s">
        <v>60</v>
      </c>
      <c r="B13" t="s">
        <v>21</v>
      </c>
      <c r="C13">
        <v>52</v>
      </c>
      <c r="D13" t="s">
        <v>14</v>
      </c>
      <c r="E13" t="s">
        <v>15</v>
      </c>
      <c r="F13" t="s">
        <v>16</v>
      </c>
      <c r="G13" s="1">
        <v>45681</v>
      </c>
      <c r="H13" t="s">
        <v>28</v>
      </c>
      <c r="I13">
        <v>118679</v>
      </c>
      <c r="J13">
        <v>9</v>
      </c>
      <c r="K13" t="s">
        <v>29</v>
      </c>
      <c r="L13" t="s">
        <v>47</v>
      </c>
    </row>
    <row r="14" spans="1:12" x14ac:dyDescent="0.25">
      <c r="A14" t="s">
        <v>61</v>
      </c>
      <c r="B14" t="s">
        <v>62</v>
      </c>
      <c r="C14">
        <v>50</v>
      </c>
      <c r="D14" t="s">
        <v>14</v>
      </c>
      <c r="E14" t="s">
        <v>33</v>
      </c>
      <c r="F14" t="s">
        <v>34</v>
      </c>
      <c r="G14" s="1">
        <v>45660</v>
      </c>
      <c r="H14" t="s">
        <v>63</v>
      </c>
      <c r="I14">
        <v>113866</v>
      </c>
      <c r="J14">
        <v>1</v>
      </c>
      <c r="K14" t="s">
        <v>18</v>
      </c>
      <c r="L14" t="s">
        <v>19</v>
      </c>
    </row>
    <row r="15" spans="1:12" x14ac:dyDescent="0.25">
      <c r="A15" t="s">
        <v>64</v>
      </c>
      <c r="B15" t="s">
        <v>32</v>
      </c>
      <c r="C15">
        <v>56</v>
      </c>
      <c r="D15" t="s">
        <v>25</v>
      </c>
      <c r="E15" t="s">
        <v>33</v>
      </c>
      <c r="F15" t="s">
        <v>34</v>
      </c>
      <c r="G15" s="1">
        <v>45670</v>
      </c>
      <c r="H15" t="s">
        <v>65</v>
      </c>
      <c r="I15">
        <v>79104</v>
      </c>
      <c r="J15">
        <v>7</v>
      </c>
      <c r="K15" t="s">
        <v>29</v>
      </c>
      <c r="L15" t="s">
        <v>19</v>
      </c>
    </row>
    <row r="16" spans="1:12" x14ac:dyDescent="0.25">
      <c r="A16" t="s">
        <v>66</v>
      </c>
      <c r="B16" t="s">
        <v>13</v>
      </c>
      <c r="C16">
        <v>61</v>
      </c>
      <c r="D16" t="s">
        <v>14</v>
      </c>
      <c r="E16" t="s">
        <v>42</v>
      </c>
      <c r="F16" t="s">
        <v>43</v>
      </c>
      <c r="G16" s="1">
        <v>45682</v>
      </c>
      <c r="H16" t="s">
        <v>57</v>
      </c>
      <c r="I16">
        <v>15621</v>
      </c>
      <c r="J16">
        <v>4</v>
      </c>
      <c r="K16" t="s">
        <v>29</v>
      </c>
      <c r="L16" t="s">
        <v>30</v>
      </c>
    </row>
    <row r="17" spans="1:12" x14ac:dyDescent="0.25">
      <c r="A17" t="s">
        <v>67</v>
      </c>
      <c r="B17" t="s">
        <v>24</v>
      </c>
      <c r="C17">
        <v>79</v>
      </c>
      <c r="D17" t="s">
        <v>14</v>
      </c>
      <c r="E17" t="s">
        <v>37</v>
      </c>
      <c r="F17" t="s">
        <v>38</v>
      </c>
      <c r="G17" s="1">
        <v>45674</v>
      </c>
      <c r="H17" t="s">
        <v>68</v>
      </c>
      <c r="I17">
        <v>67542</v>
      </c>
      <c r="J17">
        <v>1</v>
      </c>
      <c r="K17" t="s">
        <v>29</v>
      </c>
      <c r="L17" t="s">
        <v>19</v>
      </c>
    </row>
    <row r="18" spans="1:12" x14ac:dyDescent="0.25">
      <c r="A18" t="s">
        <v>69</v>
      </c>
      <c r="B18" t="s">
        <v>70</v>
      </c>
      <c r="C18">
        <v>30</v>
      </c>
      <c r="D18" t="s">
        <v>25</v>
      </c>
      <c r="E18" t="s">
        <v>26</v>
      </c>
      <c r="F18" t="s">
        <v>27</v>
      </c>
      <c r="G18" s="1">
        <v>45669</v>
      </c>
      <c r="H18" t="s">
        <v>68</v>
      </c>
      <c r="I18">
        <v>71697</v>
      </c>
      <c r="J18">
        <v>12</v>
      </c>
      <c r="K18" t="s">
        <v>18</v>
      </c>
      <c r="L18" t="s">
        <v>19</v>
      </c>
    </row>
    <row r="19" spans="1:12" x14ac:dyDescent="0.25">
      <c r="A19" t="s">
        <v>71</v>
      </c>
      <c r="B19" t="s">
        <v>72</v>
      </c>
      <c r="C19">
        <v>19</v>
      </c>
      <c r="D19" t="s">
        <v>25</v>
      </c>
      <c r="E19" t="s">
        <v>55</v>
      </c>
      <c r="F19" t="s">
        <v>56</v>
      </c>
      <c r="G19" s="1">
        <v>45687</v>
      </c>
      <c r="H19" t="s">
        <v>44</v>
      </c>
      <c r="I19">
        <v>116175</v>
      </c>
      <c r="J19">
        <v>12</v>
      </c>
      <c r="K19" t="s">
        <v>29</v>
      </c>
      <c r="L19" t="s">
        <v>30</v>
      </c>
    </row>
    <row r="20" spans="1:12" x14ac:dyDescent="0.25">
      <c r="A20" t="s">
        <v>73</v>
      </c>
      <c r="B20" t="s">
        <v>46</v>
      </c>
      <c r="C20">
        <v>74</v>
      </c>
      <c r="D20" t="s">
        <v>25</v>
      </c>
      <c r="E20" t="s">
        <v>42</v>
      </c>
      <c r="F20" t="s">
        <v>43</v>
      </c>
      <c r="G20" s="1">
        <v>45660</v>
      </c>
      <c r="H20" t="s">
        <v>74</v>
      </c>
      <c r="I20">
        <v>107957</v>
      </c>
      <c r="J20">
        <v>1</v>
      </c>
      <c r="K20" t="s">
        <v>18</v>
      </c>
      <c r="L20" t="s">
        <v>30</v>
      </c>
    </row>
    <row r="21" spans="1:12" x14ac:dyDescent="0.25">
      <c r="A21" t="s">
        <v>75</v>
      </c>
      <c r="B21" t="s">
        <v>72</v>
      </c>
      <c r="C21">
        <v>78</v>
      </c>
      <c r="D21" t="s">
        <v>25</v>
      </c>
      <c r="E21" t="s">
        <v>15</v>
      </c>
      <c r="F21" t="s">
        <v>16</v>
      </c>
      <c r="G21" s="1">
        <v>45666</v>
      </c>
      <c r="H21" t="s">
        <v>76</v>
      </c>
      <c r="I21">
        <v>115351</v>
      </c>
      <c r="J21">
        <v>9</v>
      </c>
      <c r="K21" t="s">
        <v>29</v>
      </c>
      <c r="L21" t="s">
        <v>30</v>
      </c>
    </row>
    <row r="22" spans="1:12" x14ac:dyDescent="0.25">
      <c r="A22" t="s">
        <v>77</v>
      </c>
      <c r="B22" t="s">
        <v>78</v>
      </c>
      <c r="C22">
        <v>63</v>
      </c>
      <c r="D22" t="s">
        <v>14</v>
      </c>
      <c r="E22" t="s">
        <v>26</v>
      </c>
      <c r="F22" t="s">
        <v>27</v>
      </c>
      <c r="G22" s="1">
        <v>45670</v>
      </c>
      <c r="H22" t="s">
        <v>44</v>
      </c>
      <c r="I22">
        <v>58422</v>
      </c>
      <c r="J22">
        <v>8</v>
      </c>
      <c r="K22" t="s">
        <v>29</v>
      </c>
      <c r="L22" t="s">
        <v>30</v>
      </c>
    </row>
    <row r="23" spans="1:12" x14ac:dyDescent="0.25">
      <c r="A23" t="s">
        <v>79</v>
      </c>
      <c r="B23" t="s">
        <v>46</v>
      </c>
      <c r="C23">
        <v>22</v>
      </c>
      <c r="D23" t="s">
        <v>14</v>
      </c>
      <c r="E23" t="s">
        <v>33</v>
      </c>
      <c r="F23" t="s">
        <v>34</v>
      </c>
      <c r="G23" s="1">
        <v>45658</v>
      </c>
      <c r="H23" t="s">
        <v>17</v>
      </c>
      <c r="I23">
        <v>78128</v>
      </c>
      <c r="J23">
        <v>3</v>
      </c>
      <c r="K23" t="s">
        <v>18</v>
      </c>
      <c r="L23" t="s">
        <v>30</v>
      </c>
    </row>
    <row r="24" spans="1:12" x14ac:dyDescent="0.25">
      <c r="A24" t="s">
        <v>80</v>
      </c>
      <c r="B24" t="s">
        <v>54</v>
      </c>
      <c r="C24">
        <v>32</v>
      </c>
      <c r="D24" t="s">
        <v>25</v>
      </c>
      <c r="E24" t="s">
        <v>15</v>
      </c>
      <c r="F24" t="s">
        <v>16</v>
      </c>
      <c r="G24" s="1">
        <v>45686</v>
      </c>
      <c r="H24" t="s">
        <v>63</v>
      </c>
      <c r="I24">
        <v>113674</v>
      </c>
      <c r="J24">
        <v>5</v>
      </c>
      <c r="K24" t="s">
        <v>18</v>
      </c>
      <c r="L24" t="s">
        <v>19</v>
      </c>
    </row>
    <row r="25" spans="1:12" x14ac:dyDescent="0.25">
      <c r="A25" t="s">
        <v>81</v>
      </c>
      <c r="B25" t="s">
        <v>82</v>
      </c>
      <c r="C25">
        <v>60</v>
      </c>
      <c r="D25" t="s">
        <v>14</v>
      </c>
      <c r="E25" t="s">
        <v>33</v>
      </c>
      <c r="F25" t="s">
        <v>34</v>
      </c>
      <c r="G25" s="1">
        <v>45664</v>
      </c>
      <c r="H25" t="s">
        <v>83</v>
      </c>
      <c r="I25">
        <v>95811</v>
      </c>
      <c r="J25">
        <v>9</v>
      </c>
      <c r="K25" t="s">
        <v>29</v>
      </c>
      <c r="L25" t="s">
        <v>30</v>
      </c>
    </row>
    <row r="26" spans="1:12" x14ac:dyDescent="0.25">
      <c r="A26" t="s">
        <v>84</v>
      </c>
      <c r="B26" t="s">
        <v>32</v>
      </c>
      <c r="C26">
        <v>30</v>
      </c>
      <c r="D26" t="s">
        <v>25</v>
      </c>
      <c r="E26" t="s">
        <v>37</v>
      </c>
      <c r="F26" t="s">
        <v>38</v>
      </c>
      <c r="G26" s="1">
        <v>45661</v>
      </c>
      <c r="H26" t="s">
        <v>28</v>
      </c>
      <c r="I26">
        <v>47438</v>
      </c>
      <c r="J26">
        <v>6</v>
      </c>
      <c r="K26" t="s">
        <v>29</v>
      </c>
      <c r="L26" t="s">
        <v>47</v>
      </c>
    </row>
    <row r="27" spans="1:12" x14ac:dyDescent="0.25">
      <c r="A27" t="s">
        <v>85</v>
      </c>
      <c r="B27" t="s">
        <v>54</v>
      </c>
      <c r="C27">
        <v>61</v>
      </c>
      <c r="D27" t="s">
        <v>25</v>
      </c>
      <c r="E27" t="s">
        <v>15</v>
      </c>
      <c r="F27" t="s">
        <v>16</v>
      </c>
      <c r="G27" s="1">
        <v>45659</v>
      </c>
      <c r="H27" t="s">
        <v>65</v>
      </c>
      <c r="I27">
        <v>96448</v>
      </c>
      <c r="J27">
        <v>5</v>
      </c>
      <c r="K27" t="s">
        <v>18</v>
      </c>
      <c r="L27" t="s">
        <v>30</v>
      </c>
    </row>
    <row r="28" spans="1:12" x14ac:dyDescent="0.25">
      <c r="A28" t="s">
        <v>86</v>
      </c>
      <c r="B28" t="s">
        <v>78</v>
      </c>
      <c r="C28">
        <v>52</v>
      </c>
      <c r="D28" t="s">
        <v>14</v>
      </c>
      <c r="E28" t="s">
        <v>33</v>
      </c>
      <c r="F28" t="s">
        <v>34</v>
      </c>
      <c r="G28" s="1">
        <v>45662</v>
      </c>
      <c r="H28" t="s">
        <v>28</v>
      </c>
      <c r="I28">
        <v>25050</v>
      </c>
      <c r="J28">
        <v>4</v>
      </c>
      <c r="K28" t="s">
        <v>29</v>
      </c>
      <c r="L28" t="s">
        <v>30</v>
      </c>
    </row>
    <row r="29" spans="1:12" x14ac:dyDescent="0.25">
      <c r="A29" t="s">
        <v>87</v>
      </c>
      <c r="B29" t="s">
        <v>88</v>
      </c>
      <c r="C29">
        <v>69</v>
      </c>
      <c r="D29" t="s">
        <v>25</v>
      </c>
      <c r="E29" t="s">
        <v>42</v>
      </c>
      <c r="F29" t="s">
        <v>43</v>
      </c>
      <c r="G29" s="1">
        <v>45659</v>
      </c>
      <c r="H29" t="s">
        <v>22</v>
      </c>
      <c r="I29">
        <v>13224</v>
      </c>
      <c r="J29">
        <v>12</v>
      </c>
      <c r="K29" t="s">
        <v>18</v>
      </c>
      <c r="L29" t="s">
        <v>30</v>
      </c>
    </row>
    <row r="30" spans="1:12" x14ac:dyDescent="0.25">
      <c r="A30" t="s">
        <v>89</v>
      </c>
      <c r="B30" t="s">
        <v>72</v>
      </c>
      <c r="C30">
        <v>48</v>
      </c>
      <c r="D30" t="s">
        <v>25</v>
      </c>
      <c r="E30" t="s">
        <v>37</v>
      </c>
      <c r="F30" t="s">
        <v>38</v>
      </c>
      <c r="G30" s="1">
        <v>45685</v>
      </c>
      <c r="H30" t="s">
        <v>65</v>
      </c>
      <c r="I30">
        <v>119284</v>
      </c>
      <c r="J30">
        <v>0</v>
      </c>
      <c r="K30" t="s">
        <v>18</v>
      </c>
      <c r="L30" t="s">
        <v>47</v>
      </c>
    </row>
    <row r="31" spans="1:12" x14ac:dyDescent="0.25">
      <c r="A31" t="s">
        <v>90</v>
      </c>
      <c r="B31" t="s">
        <v>41</v>
      </c>
      <c r="C31">
        <v>34</v>
      </c>
      <c r="D31" t="s">
        <v>14</v>
      </c>
      <c r="E31" t="s">
        <v>42</v>
      </c>
      <c r="F31" t="s">
        <v>43</v>
      </c>
      <c r="G31" s="1">
        <v>45667</v>
      </c>
      <c r="H31" t="s">
        <v>28</v>
      </c>
      <c r="I31">
        <v>92303</v>
      </c>
      <c r="J31">
        <v>11</v>
      </c>
      <c r="K31" t="s">
        <v>29</v>
      </c>
      <c r="L31" t="s">
        <v>30</v>
      </c>
    </row>
    <row r="32" spans="1:12" x14ac:dyDescent="0.25">
      <c r="A32" t="s">
        <v>91</v>
      </c>
      <c r="B32" t="s">
        <v>92</v>
      </c>
      <c r="C32">
        <v>31</v>
      </c>
      <c r="D32" t="s">
        <v>25</v>
      </c>
      <c r="E32" t="s">
        <v>33</v>
      </c>
      <c r="F32" t="s">
        <v>34</v>
      </c>
      <c r="G32" s="1">
        <v>45676</v>
      </c>
      <c r="H32" t="s">
        <v>63</v>
      </c>
      <c r="I32">
        <v>99038</v>
      </c>
      <c r="J32">
        <v>5</v>
      </c>
      <c r="K32" t="s">
        <v>18</v>
      </c>
      <c r="L32" t="s">
        <v>30</v>
      </c>
    </row>
    <row r="33" spans="1:12" x14ac:dyDescent="0.25">
      <c r="A33" t="s">
        <v>93</v>
      </c>
      <c r="B33" t="s">
        <v>72</v>
      </c>
      <c r="C33">
        <v>50</v>
      </c>
      <c r="D33" t="s">
        <v>25</v>
      </c>
      <c r="E33" t="s">
        <v>26</v>
      </c>
      <c r="F33" t="s">
        <v>27</v>
      </c>
      <c r="G33" s="1">
        <v>45659</v>
      </c>
      <c r="H33" t="s">
        <v>76</v>
      </c>
      <c r="I33">
        <v>11500</v>
      </c>
      <c r="J33">
        <v>2</v>
      </c>
      <c r="K33" t="s">
        <v>18</v>
      </c>
      <c r="L33" t="s">
        <v>19</v>
      </c>
    </row>
    <row r="34" spans="1:12" x14ac:dyDescent="0.25">
      <c r="A34" t="s">
        <v>94</v>
      </c>
      <c r="B34" t="s">
        <v>46</v>
      </c>
      <c r="C34">
        <v>43</v>
      </c>
      <c r="D34" t="s">
        <v>25</v>
      </c>
      <c r="E34" t="s">
        <v>42</v>
      </c>
      <c r="F34" t="s">
        <v>43</v>
      </c>
      <c r="G34" s="1">
        <v>45688</v>
      </c>
      <c r="H34" t="s">
        <v>17</v>
      </c>
      <c r="I34">
        <v>76880</v>
      </c>
      <c r="J34">
        <v>9</v>
      </c>
      <c r="K34" t="s">
        <v>18</v>
      </c>
      <c r="L34" t="s">
        <v>19</v>
      </c>
    </row>
    <row r="35" spans="1:12" x14ac:dyDescent="0.25">
      <c r="A35" t="s">
        <v>95</v>
      </c>
      <c r="B35" t="s">
        <v>32</v>
      </c>
      <c r="C35">
        <v>60</v>
      </c>
      <c r="D35" t="s">
        <v>14</v>
      </c>
      <c r="E35" t="s">
        <v>42</v>
      </c>
      <c r="F35" t="s">
        <v>43</v>
      </c>
      <c r="G35" s="1">
        <v>45687</v>
      </c>
      <c r="H35" t="s">
        <v>39</v>
      </c>
      <c r="I35">
        <v>27772</v>
      </c>
      <c r="J35">
        <v>10</v>
      </c>
      <c r="K35" t="s">
        <v>29</v>
      </c>
      <c r="L35" t="s">
        <v>30</v>
      </c>
    </row>
    <row r="36" spans="1:12" x14ac:dyDescent="0.25">
      <c r="A36" t="s">
        <v>96</v>
      </c>
      <c r="B36" t="s">
        <v>41</v>
      </c>
      <c r="C36">
        <v>26</v>
      </c>
      <c r="D36" t="s">
        <v>14</v>
      </c>
      <c r="E36" t="s">
        <v>55</v>
      </c>
      <c r="F36" t="s">
        <v>56</v>
      </c>
      <c r="G36" s="1">
        <v>45672</v>
      </c>
      <c r="H36" t="s">
        <v>57</v>
      </c>
      <c r="I36">
        <v>99548</v>
      </c>
      <c r="J36">
        <v>1</v>
      </c>
      <c r="K36" t="s">
        <v>18</v>
      </c>
      <c r="L36" t="s">
        <v>47</v>
      </c>
    </row>
    <row r="37" spans="1:12" x14ac:dyDescent="0.25">
      <c r="A37" t="s">
        <v>97</v>
      </c>
      <c r="B37" t="s">
        <v>98</v>
      </c>
      <c r="C37">
        <v>24</v>
      </c>
      <c r="D37" t="s">
        <v>25</v>
      </c>
      <c r="E37" t="s">
        <v>26</v>
      </c>
      <c r="F37" t="s">
        <v>27</v>
      </c>
      <c r="G37" s="1">
        <v>45675</v>
      </c>
      <c r="H37" t="s">
        <v>35</v>
      </c>
      <c r="I37">
        <v>67307</v>
      </c>
      <c r="J37">
        <v>4</v>
      </c>
      <c r="K37" t="s">
        <v>18</v>
      </c>
      <c r="L37" t="s">
        <v>47</v>
      </c>
    </row>
    <row r="38" spans="1:12" x14ac:dyDescent="0.25">
      <c r="A38" t="s">
        <v>99</v>
      </c>
      <c r="B38" t="s">
        <v>46</v>
      </c>
      <c r="C38">
        <v>41</v>
      </c>
      <c r="D38" t="s">
        <v>14</v>
      </c>
      <c r="E38" t="s">
        <v>42</v>
      </c>
      <c r="F38" t="s">
        <v>43</v>
      </c>
      <c r="G38" s="1">
        <v>45663</v>
      </c>
      <c r="H38" t="s">
        <v>52</v>
      </c>
      <c r="I38">
        <v>110280</v>
      </c>
      <c r="J38">
        <v>8</v>
      </c>
      <c r="K38" t="s">
        <v>29</v>
      </c>
      <c r="L38" t="s">
        <v>19</v>
      </c>
    </row>
    <row r="39" spans="1:12" x14ac:dyDescent="0.25">
      <c r="A39" t="s">
        <v>100</v>
      </c>
      <c r="B39" t="s">
        <v>101</v>
      </c>
      <c r="C39">
        <v>18</v>
      </c>
      <c r="D39" t="s">
        <v>14</v>
      </c>
      <c r="E39" t="s">
        <v>15</v>
      </c>
      <c r="F39" t="s">
        <v>16</v>
      </c>
      <c r="G39" s="1">
        <v>45687</v>
      </c>
      <c r="H39" t="s">
        <v>102</v>
      </c>
      <c r="I39">
        <v>116097</v>
      </c>
      <c r="J39">
        <v>2</v>
      </c>
      <c r="K39" t="s">
        <v>29</v>
      </c>
      <c r="L39" t="s">
        <v>30</v>
      </c>
    </row>
    <row r="40" spans="1:12" x14ac:dyDescent="0.25">
      <c r="A40" t="s">
        <v>103</v>
      </c>
      <c r="B40" t="s">
        <v>21</v>
      </c>
      <c r="C40">
        <v>27</v>
      </c>
      <c r="D40" t="s">
        <v>14</v>
      </c>
      <c r="E40" t="s">
        <v>42</v>
      </c>
      <c r="F40" t="s">
        <v>43</v>
      </c>
      <c r="G40" s="1">
        <v>45667</v>
      </c>
      <c r="H40" t="s">
        <v>35</v>
      </c>
      <c r="I40">
        <v>95058</v>
      </c>
      <c r="J40">
        <v>5</v>
      </c>
      <c r="K40" t="s">
        <v>18</v>
      </c>
      <c r="L40" t="s">
        <v>19</v>
      </c>
    </row>
    <row r="41" spans="1:12" x14ac:dyDescent="0.25">
      <c r="A41" t="s">
        <v>104</v>
      </c>
      <c r="B41" t="s">
        <v>82</v>
      </c>
      <c r="C41">
        <v>50</v>
      </c>
      <c r="D41" t="s">
        <v>14</v>
      </c>
      <c r="E41" t="s">
        <v>15</v>
      </c>
      <c r="F41" t="s">
        <v>16</v>
      </c>
      <c r="G41" s="1">
        <v>45666</v>
      </c>
      <c r="H41" t="s">
        <v>63</v>
      </c>
      <c r="I41">
        <v>13097</v>
      </c>
      <c r="J41">
        <v>10</v>
      </c>
      <c r="K41" t="s">
        <v>29</v>
      </c>
      <c r="L41" t="s">
        <v>47</v>
      </c>
    </row>
    <row r="42" spans="1:12" x14ac:dyDescent="0.25">
      <c r="A42" t="s">
        <v>105</v>
      </c>
      <c r="B42" t="s">
        <v>24</v>
      </c>
      <c r="C42">
        <v>39</v>
      </c>
      <c r="D42" t="s">
        <v>25</v>
      </c>
      <c r="E42" t="s">
        <v>42</v>
      </c>
      <c r="F42" t="s">
        <v>43</v>
      </c>
      <c r="G42" s="1">
        <v>45678</v>
      </c>
      <c r="H42" t="s">
        <v>39</v>
      </c>
      <c r="I42">
        <v>22178</v>
      </c>
      <c r="J42">
        <v>11</v>
      </c>
      <c r="K42" t="s">
        <v>29</v>
      </c>
      <c r="L42" t="s">
        <v>19</v>
      </c>
    </row>
    <row r="43" spans="1:12" x14ac:dyDescent="0.25">
      <c r="A43" t="s">
        <v>106</v>
      </c>
      <c r="B43" t="s">
        <v>32</v>
      </c>
      <c r="C43">
        <v>53</v>
      </c>
      <c r="D43" t="s">
        <v>25</v>
      </c>
      <c r="E43" t="s">
        <v>15</v>
      </c>
      <c r="F43" t="s">
        <v>16</v>
      </c>
      <c r="G43" s="1">
        <v>45661</v>
      </c>
      <c r="H43" t="s">
        <v>107</v>
      </c>
      <c r="I43">
        <v>116750</v>
      </c>
      <c r="J43">
        <v>11</v>
      </c>
      <c r="K43" t="s">
        <v>18</v>
      </c>
      <c r="L43" t="s">
        <v>19</v>
      </c>
    </row>
    <row r="44" spans="1:12" x14ac:dyDescent="0.25">
      <c r="A44" t="s">
        <v>108</v>
      </c>
      <c r="B44" t="s">
        <v>49</v>
      </c>
      <c r="C44">
        <v>55</v>
      </c>
      <c r="D44" t="s">
        <v>25</v>
      </c>
      <c r="E44" t="s">
        <v>42</v>
      </c>
      <c r="F44" t="s">
        <v>43</v>
      </c>
      <c r="G44" s="1">
        <v>45671</v>
      </c>
      <c r="H44" t="s">
        <v>83</v>
      </c>
      <c r="I44">
        <v>6482</v>
      </c>
      <c r="J44">
        <v>4</v>
      </c>
      <c r="K44" t="s">
        <v>29</v>
      </c>
      <c r="L44" t="s">
        <v>30</v>
      </c>
    </row>
    <row r="45" spans="1:12" x14ac:dyDescent="0.25">
      <c r="A45" t="s">
        <v>109</v>
      </c>
      <c r="B45" t="s">
        <v>78</v>
      </c>
      <c r="C45">
        <v>61</v>
      </c>
      <c r="D45" t="s">
        <v>25</v>
      </c>
      <c r="E45" t="s">
        <v>55</v>
      </c>
      <c r="F45" t="s">
        <v>56</v>
      </c>
      <c r="G45" s="1">
        <v>45679</v>
      </c>
      <c r="H45" t="s">
        <v>102</v>
      </c>
      <c r="I45">
        <v>47357</v>
      </c>
      <c r="J45">
        <v>12</v>
      </c>
      <c r="K45" t="s">
        <v>29</v>
      </c>
      <c r="L45" t="s">
        <v>19</v>
      </c>
    </row>
    <row r="46" spans="1:12" x14ac:dyDescent="0.25">
      <c r="A46" t="s">
        <v>110</v>
      </c>
      <c r="B46" t="s">
        <v>62</v>
      </c>
      <c r="C46">
        <v>77</v>
      </c>
      <c r="D46" t="s">
        <v>25</v>
      </c>
      <c r="E46" t="s">
        <v>15</v>
      </c>
      <c r="F46" t="s">
        <v>16</v>
      </c>
      <c r="G46" s="1">
        <v>45685</v>
      </c>
      <c r="H46" t="s">
        <v>68</v>
      </c>
      <c r="I46">
        <v>105842</v>
      </c>
      <c r="J46">
        <v>12</v>
      </c>
      <c r="K46" t="s">
        <v>18</v>
      </c>
      <c r="L46" t="s">
        <v>47</v>
      </c>
    </row>
    <row r="47" spans="1:12" x14ac:dyDescent="0.25">
      <c r="A47" t="s">
        <v>111</v>
      </c>
      <c r="B47" t="s">
        <v>51</v>
      </c>
      <c r="C47">
        <v>65</v>
      </c>
      <c r="D47" t="s">
        <v>14</v>
      </c>
      <c r="E47" t="s">
        <v>42</v>
      </c>
      <c r="F47" t="s">
        <v>43</v>
      </c>
      <c r="G47" s="1">
        <v>45683</v>
      </c>
      <c r="H47" t="s">
        <v>28</v>
      </c>
      <c r="I47">
        <v>106150</v>
      </c>
      <c r="J47">
        <v>10</v>
      </c>
      <c r="K47" t="s">
        <v>18</v>
      </c>
      <c r="L47" t="s">
        <v>47</v>
      </c>
    </row>
    <row r="48" spans="1:12" x14ac:dyDescent="0.25">
      <c r="A48" t="s">
        <v>112</v>
      </c>
      <c r="B48" t="s">
        <v>13</v>
      </c>
      <c r="C48">
        <v>42</v>
      </c>
      <c r="D48" t="s">
        <v>25</v>
      </c>
      <c r="E48" t="s">
        <v>33</v>
      </c>
      <c r="F48" t="s">
        <v>34</v>
      </c>
      <c r="G48" s="1">
        <v>45685</v>
      </c>
      <c r="H48" t="s">
        <v>74</v>
      </c>
      <c r="I48">
        <v>30154</v>
      </c>
      <c r="J48">
        <v>3</v>
      </c>
      <c r="K48" t="s">
        <v>29</v>
      </c>
      <c r="L48" t="s">
        <v>47</v>
      </c>
    </row>
    <row r="49" spans="1:12" x14ac:dyDescent="0.25">
      <c r="A49" t="s">
        <v>113</v>
      </c>
      <c r="B49" t="s">
        <v>46</v>
      </c>
      <c r="C49">
        <v>32</v>
      </c>
      <c r="D49" t="s">
        <v>25</v>
      </c>
      <c r="E49" t="s">
        <v>55</v>
      </c>
      <c r="F49" t="s">
        <v>56</v>
      </c>
      <c r="G49" s="1">
        <v>45679</v>
      </c>
      <c r="H49" t="s">
        <v>35</v>
      </c>
      <c r="I49">
        <v>53227</v>
      </c>
      <c r="J49">
        <v>5</v>
      </c>
      <c r="K49" t="s">
        <v>29</v>
      </c>
      <c r="L49" t="s">
        <v>30</v>
      </c>
    </row>
    <row r="50" spans="1:12" x14ac:dyDescent="0.25">
      <c r="A50" t="s">
        <v>114</v>
      </c>
      <c r="B50" t="s">
        <v>49</v>
      </c>
      <c r="C50">
        <v>59</v>
      </c>
      <c r="D50" t="s">
        <v>14</v>
      </c>
      <c r="E50" t="s">
        <v>55</v>
      </c>
      <c r="F50" t="s">
        <v>56</v>
      </c>
      <c r="G50" s="1">
        <v>45679</v>
      </c>
      <c r="H50" t="s">
        <v>57</v>
      </c>
      <c r="I50">
        <v>4617</v>
      </c>
      <c r="J50">
        <v>1</v>
      </c>
      <c r="K50" t="s">
        <v>29</v>
      </c>
      <c r="L50" t="s">
        <v>30</v>
      </c>
    </row>
    <row r="51" spans="1:12" x14ac:dyDescent="0.25">
      <c r="A51" t="s">
        <v>115</v>
      </c>
      <c r="B51" t="s">
        <v>82</v>
      </c>
      <c r="C51">
        <v>20</v>
      </c>
      <c r="D51" t="s">
        <v>25</v>
      </c>
      <c r="E51" t="s">
        <v>26</v>
      </c>
      <c r="F51" t="s">
        <v>27</v>
      </c>
      <c r="G51" s="1">
        <v>45677</v>
      </c>
      <c r="H51" t="s">
        <v>28</v>
      </c>
      <c r="I51">
        <v>46309</v>
      </c>
      <c r="J51">
        <v>11</v>
      </c>
      <c r="K51" t="s">
        <v>29</v>
      </c>
      <c r="L51" t="s">
        <v>47</v>
      </c>
    </row>
    <row r="52" spans="1:12" x14ac:dyDescent="0.25">
      <c r="A52" t="s">
        <v>116</v>
      </c>
      <c r="B52" t="s">
        <v>101</v>
      </c>
      <c r="C52">
        <v>25</v>
      </c>
      <c r="D52" t="s">
        <v>14</v>
      </c>
      <c r="E52" t="s">
        <v>26</v>
      </c>
      <c r="F52" t="s">
        <v>27</v>
      </c>
      <c r="G52" s="1">
        <v>45686</v>
      </c>
      <c r="H52" t="s">
        <v>35</v>
      </c>
      <c r="I52">
        <v>34386</v>
      </c>
      <c r="J52">
        <v>0</v>
      </c>
      <c r="K52" t="s">
        <v>29</v>
      </c>
      <c r="L52" t="s">
        <v>30</v>
      </c>
    </row>
    <row r="53" spans="1:12" x14ac:dyDescent="0.25">
      <c r="A53" t="s">
        <v>117</v>
      </c>
      <c r="B53" t="s">
        <v>21</v>
      </c>
      <c r="C53">
        <v>61</v>
      </c>
      <c r="D53" t="s">
        <v>25</v>
      </c>
      <c r="E53" t="s">
        <v>26</v>
      </c>
      <c r="F53" t="s">
        <v>27</v>
      </c>
      <c r="G53" s="1">
        <v>45669</v>
      </c>
      <c r="H53" t="s">
        <v>28</v>
      </c>
      <c r="I53">
        <v>10171</v>
      </c>
      <c r="J53">
        <v>10</v>
      </c>
      <c r="K53" t="s">
        <v>29</v>
      </c>
      <c r="L53" t="s">
        <v>19</v>
      </c>
    </row>
    <row r="54" spans="1:12" x14ac:dyDescent="0.25">
      <c r="A54" t="s">
        <v>118</v>
      </c>
      <c r="B54" t="s">
        <v>13</v>
      </c>
      <c r="C54">
        <v>64</v>
      </c>
      <c r="D54" t="s">
        <v>14</v>
      </c>
      <c r="E54" t="s">
        <v>55</v>
      </c>
      <c r="F54" t="s">
        <v>56</v>
      </c>
      <c r="G54" s="1">
        <v>45674</v>
      </c>
      <c r="H54" t="s">
        <v>119</v>
      </c>
      <c r="I54">
        <v>88410</v>
      </c>
      <c r="J54">
        <v>6</v>
      </c>
      <c r="K54" t="s">
        <v>29</v>
      </c>
      <c r="L54" t="s">
        <v>47</v>
      </c>
    </row>
    <row r="55" spans="1:12" x14ac:dyDescent="0.25">
      <c r="A55" t="s">
        <v>120</v>
      </c>
      <c r="B55" t="s">
        <v>92</v>
      </c>
      <c r="C55">
        <v>53</v>
      </c>
      <c r="D55" t="s">
        <v>25</v>
      </c>
      <c r="E55" t="s">
        <v>15</v>
      </c>
      <c r="F55" t="s">
        <v>16</v>
      </c>
      <c r="G55" s="1">
        <v>45664</v>
      </c>
      <c r="H55" t="s">
        <v>28</v>
      </c>
      <c r="I55">
        <v>88153</v>
      </c>
      <c r="J55">
        <v>6</v>
      </c>
      <c r="K55" t="s">
        <v>18</v>
      </c>
      <c r="L55" t="s">
        <v>19</v>
      </c>
    </row>
    <row r="56" spans="1:12" x14ac:dyDescent="0.25">
      <c r="A56" t="s">
        <v>121</v>
      </c>
      <c r="B56" t="s">
        <v>92</v>
      </c>
      <c r="C56">
        <v>43</v>
      </c>
      <c r="D56" t="s">
        <v>25</v>
      </c>
      <c r="E56" t="s">
        <v>26</v>
      </c>
      <c r="F56" t="s">
        <v>27</v>
      </c>
      <c r="G56" s="1">
        <v>45667</v>
      </c>
      <c r="H56" t="s">
        <v>119</v>
      </c>
      <c r="I56">
        <v>28549</v>
      </c>
      <c r="J56">
        <v>6</v>
      </c>
      <c r="K56" t="s">
        <v>29</v>
      </c>
      <c r="L56" t="s">
        <v>47</v>
      </c>
    </row>
    <row r="57" spans="1:12" x14ac:dyDescent="0.25">
      <c r="A57" t="s">
        <v>122</v>
      </c>
      <c r="B57" t="s">
        <v>88</v>
      </c>
      <c r="C57">
        <v>61</v>
      </c>
      <c r="D57" t="s">
        <v>25</v>
      </c>
      <c r="E57" t="s">
        <v>37</v>
      </c>
      <c r="F57" t="s">
        <v>38</v>
      </c>
      <c r="G57" s="1">
        <v>45674</v>
      </c>
      <c r="H57" t="s">
        <v>74</v>
      </c>
      <c r="I57">
        <v>105036</v>
      </c>
      <c r="J57">
        <v>12</v>
      </c>
      <c r="K57" t="s">
        <v>18</v>
      </c>
      <c r="L57" t="s">
        <v>19</v>
      </c>
    </row>
    <row r="58" spans="1:12" x14ac:dyDescent="0.25">
      <c r="A58" t="s">
        <v>123</v>
      </c>
      <c r="B58" t="s">
        <v>92</v>
      </c>
      <c r="C58">
        <v>50</v>
      </c>
      <c r="D58" t="s">
        <v>14</v>
      </c>
      <c r="E58" t="s">
        <v>42</v>
      </c>
      <c r="F58" t="s">
        <v>43</v>
      </c>
      <c r="G58" s="1">
        <v>45660</v>
      </c>
      <c r="H58" t="s">
        <v>17</v>
      </c>
      <c r="I58">
        <v>89184</v>
      </c>
      <c r="J58">
        <v>4</v>
      </c>
      <c r="K58" t="s">
        <v>18</v>
      </c>
      <c r="L58" t="s">
        <v>30</v>
      </c>
    </row>
    <row r="59" spans="1:12" x14ac:dyDescent="0.25">
      <c r="A59" t="s">
        <v>124</v>
      </c>
      <c r="B59" t="s">
        <v>24</v>
      </c>
      <c r="C59">
        <v>20</v>
      </c>
      <c r="D59" t="s">
        <v>25</v>
      </c>
      <c r="E59" t="s">
        <v>33</v>
      </c>
      <c r="F59" t="s">
        <v>34</v>
      </c>
      <c r="G59" s="1">
        <v>45673</v>
      </c>
      <c r="H59" t="s">
        <v>107</v>
      </c>
      <c r="I59">
        <v>60692</v>
      </c>
      <c r="J59">
        <v>6</v>
      </c>
      <c r="K59" t="s">
        <v>18</v>
      </c>
      <c r="L59" t="s">
        <v>19</v>
      </c>
    </row>
    <row r="60" spans="1:12" x14ac:dyDescent="0.25">
      <c r="A60" t="s">
        <v>125</v>
      </c>
      <c r="B60" t="s">
        <v>41</v>
      </c>
      <c r="C60">
        <v>49</v>
      </c>
      <c r="D60" t="s">
        <v>14</v>
      </c>
      <c r="E60" t="s">
        <v>15</v>
      </c>
      <c r="F60" t="s">
        <v>16</v>
      </c>
      <c r="G60" s="1">
        <v>45665</v>
      </c>
      <c r="H60" t="s">
        <v>83</v>
      </c>
      <c r="I60">
        <v>86990</v>
      </c>
      <c r="J60">
        <v>11</v>
      </c>
      <c r="K60" t="s">
        <v>18</v>
      </c>
      <c r="L60" t="s">
        <v>30</v>
      </c>
    </row>
    <row r="61" spans="1:12" x14ac:dyDescent="0.25">
      <c r="A61" t="s">
        <v>126</v>
      </c>
      <c r="B61" t="s">
        <v>46</v>
      </c>
      <c r="C61">
        <v>29</v>
      </c>
      <c r="D61" t="s">
        <v>14</v>
      </c>
      <c r="E61" t="s">
        <v>37</v>
      </c>
      <c r="F61" t="s">
        <v>38</v>
      </c>
      <c r="G61" s="1">
        <v>45659</v>
      </c>
      <c r="H61" t="s">
        <v>17</v>
      </c>
      <c r="I61">
        <v>112193</v>
      </c>
      <c r="J61">
        <v>1</v>
      </c>
      <c r="K61" t="s">
        <v>29</v>
      </c>
      <c r="L61" t="s">
        <v>30</v>
      </c>
    </row>
    <row r="62" spans="1:12" x14ac:dyDescent="0.25">
      <c r="A62" t="s">
        <v>127</v>
      </c>
      <c r="B62" t="s">
        <v>101</v>
      </c>
      <c r="C62">
        <v>53</v>
      </c>
      <c r="D62" t="s">
        <v>14</v>
      </c>
      <c r="E62" t="s">
        <v>37</v>
      </c>
      <c r="F62" t="s">
        <v>38</v>
      </c>
      <c r="G62" s="1">
        <v>45688</v>
      </c>
      <c r="H62" t="s">
        <v>52</v>
      </c>
      <c r="I62">
        <v>81301</v>
      </c>
      <c r="J62">
        <v>11</v>
      </c>
      <c r="K62" t="s">
        <v>29</v>
      </c>
      <c r="L62" t="s">
        <v>19</v>
      </c>
    </row>
    <row r="63" spans="1:12" x14ac:dyDescent="0.25">
      <c r="A63" t="s">
        <v>128</v>
      </c>
      <c r="B63" t="s">
        <v>51</v>
      </c>
      <c r="C63">
        <v>65</v>
      </c>
      <c r="D63" t="s">
        <v>14</v>
      </c>
      <c r="E63" t="s">
        <v>37</v>
      </c>
      <c r="F63" t="s">
        <v>38</v>
      </c>
      <c r="G63" s="1">
        <v>45672</v>
      </c>
      <c r="H63" t="s">
        <v>39</v>
      </c>
      <c r="I63">
        <v>99536</v>
      </c>
      <c r="J63">
        <v>3</v>
      </c>
      <c r="K63" t="s">
        <v>29</v>
      </c>
      <c r="L63" t="s">
        <v>19</v>
      </c>
    </row>
    <row r="64" spans="1:12" x14ac:dyDescent="0.25">
      <c r="A64" t="s">
        <v>129</v>
      </c>
      <c r="B64" t="s">
        <v>46</v>
      </c>
      <c r="C64">
        <v>35</v>
      </c>
      <c r="D64" t="s">
        <v>14</v>
      </c>
      <c r="E64" t="s">
        <v>37</v>
      </c>
      <c r="F64" t="s">
        <v>38</v>
      </c>
      <c r="G64" s="1">
        <v>45660</v>
      </c>
      <c r="H64" t="s">
        <v>119</v>
      </c>
      <c r="I64">
        <v>31735</v>
      </c>
      <c r="J64">
        <v>4</v>
      </c>
      <c r="K64" t="s">
        <v>29</v>
      </c>
      <c r="L64" t="s">
        <v>47</v>
      </c>
    </row>
    <row r="65" spans="1:12" x14ac:dyDescent="0.25">
      <c r="A65" t="s">
        <v>130</v>
      </c>
      <c r="B65" t="s">
        <v>131</v>
      </c>
      <c r="C65">
        <v>26</v>
      </c>
      <c r="D65" t="s">
        <v>25</v>
      </c>
      <c r="E65" t="s">
        <v>26</v>
      </c>
      <c r="F65" t="s">
        <v>27</v>
      </c>
      <c r="G65" s="1">
        <v>45665</v>
      </c>
      <c r="H65" t="s">
        <v>65</v>
      </c>
      <c r="I65">
        <v>91957</v>
      </c>
      <c r="J65">
        <v>2</v>
      </c>
      <c r="K65" t="s">
        <v>18</v>
      </c>
      <c r="L65" t="s">
        <v>30</v>
      </c>
    </row>
    <row r="66" spans="1:12" x14ac:dyDescent="0.25">
      <c r="A66" t="s">
        <v>132</v>
      </c>
      <c r="B66" t="s">
        <v>32</v>
      </c>
      <c r="C66">
        <v>39</v>
      </c>
      <c r="D66" t="s">
        <v>14</v>
      </c>
      <c r="E66" t="s">
        <v>37</v>
      </c>
      <c r="F66" t="s">
        <v>38</v>
      </c>
      <c r="G66" s="1">
        <v>45671</v>
      </c>
      <c r="H66" t="s">
        <v>63</v>
      </c>
      <c r="I66">
        <v>28110</v>
      </c>
      <c r="J66">
        <v>6</v>
      </c>
      <c r="K66" t="s">
        <v>29</v>
      </c>
      <c r="L66" t="s">
        <v>19</v>
      </c>
    </row>
    <row r="67" spans="1:12" x14ac:dyDescent="0.25">
      <c r="A67" t="s">
        <v>133</v>
      </c>
      <c r="B67" t="s">
        <v>24</v>
      </c>
      <c r="C67">
        <v>72</v>
      </c>
      <c r="D67" t="s">
        <v>14</v>
      </c>
      <c r="E67" t="s">
        <v>15</v>
      </c>
      <c r="F67" t="s">
        <v>16</v>
      </c>
      <c r="G67" s="1">
        <v>45673</v>
      </c>
      <c r="H67" t="s">
        <v>22</v>
      </c>
      <c r="I67">
        <v>47105</v>
      </c>
      <c r="J67">
        <v>4</v>
      </c>
      <c r="K67" t="s">
        <v>29</v>
      </c>
      <c r="L67" t="s">
        <v>47</v>
      </c>
    </row>
    <row r="68" spans="1:12" x14ac:dyDescent="0.25">
      <c r="A68" t="s">
        <v>134</v>
      </c>
      <c r="B68" t="s">
        <v>21</v>
      </c>
      <c r="C68">
        <v>69</v>
      </c>
      <c r="D68" t="s">
        <v>25</v>
      </c>
      <c r="E68" t="s">
        <v>26</v>
      </c>
      <c r="F68" t="s">
        <v>27</v>
      </c>
      <c r="G68" s="1">
        <v>45673</v>
      </c>
      <c r="H68" t="s">
        <v>17</v>
      </c>
      <c r="I68">
        <v>36774</v>
      </c>
      <c r="J68">
        <v>6</v>
      </c>
      <c r="K68" t="s">
        <v>29</v>
      </c>
      <c r="L68" t="s">
        <v>30</v>
      </c>
    </row>
    <row r="69" spans="1:12" x14ac:dyDescent="0.25">
      <c r="A69" t="s">
        <v>135</v>
      </c>
      <c r="B69" t="s">
        <v>59</v>
      </c>
      <c r="C69">
        <v>60</v>
      </c>
      <c r="D69" t="s">
        <v>14</v>
      </c>
      <c r="E69" t="s">
        <v>37</v>
      </c>
      <c r="F69" t="s">
        <v>38</v>
      </c>
      <c r="G69" s="1">
        <v>45681</v>
      </c>
      <c r="H69" t="s">
        <v>68</v>
      </c>
      <c r="I69">
        <v>111166</v>
      </c>
      <c r="J69">
        <v>7</v>
      </c>
      <c r="K69" t="s">
        <v>18</v>
      </c>
      <c r="L69" t="s">
        <v>19</v>
      </c>
    </row>
    <row r="70" spans="1:12" x14ac:dyDescent="0.25">
      <c r="A70" t="s">
        <v>136</v>
      </c>
      <c r="B70" t="s">
        <v>24</v>
      </c>
      <c r="C70">
        <v>76</v>
      </c>
      <c r="D70" t="s">
        <v>14</v>
      </c>
      <c r="E70" t="s">
        <v>26</v>
      </c>
      <c r="F70" t="s">
        <v>27</v>
      </c>
      <c r="G70" s="1">
        <v>45676</v>
      </c>
      <c r="H70" t="s">
        <v>22</v>
      </c>
      <c r="I70">
        <v>12003</v>
      </c>
      <c r="J70">
        <v>10</v>
      </c>
      <c r="K70" t="s">
        <v>29</v>
      </c>
      <c r="L70" t="s">
        <v>30</v>
      </c>
    </row>
    <row r="71" spans="1:12" x14ac:dyDescent="0.25">
      <c r="A71" t="s">
        <v>137</v>
      </c>
      <c r="B71" t="s">
        <v>51</v>
      </c>
      <c r="C71">
        <v>21</v>
      </c>
      <c r="D71" t="s">
        <v>14</v>
      </c>
      <c r="E71" t="s">
        <v>37</v>
      </c>
      <c r="F71" t="s">
        <v>38</v>
      </c>
      <c r="G71" s="1">
        <v>45670</v>
      </c>
      <c r="H71" t="s">
        <v>57</v>
      </c>
      <c r="I71">
        <v>28742</v>
      </c>
      <c r="J71">
        <v>7</v>
      </c>
      <c r="K71" t="s">
        <v>29</v>
      </c>
      <c r="L71" t="s">
        <v>47</v>
      </c>
    </row>
    <row r="72" spans="1:12" x14ac:dyDescent="0.25">
      <c r="A72" t="s">
        <v>138</v>
      </c>
      <c r="B72" t="s">
        <v>82</v>
      </c>
      <c r="C72">
        <v>66</v>
      </c>
      <c r="D72" t="s">
        <v>14</v>
      </c>
      <c r="E72" t="s">
        <v>37</v>
      </c>
      <c r="F72" t="s">
        <v>38</v>
      </c>
      <c r="G72" s="1">
        <v>45666</v>
      </c>
      <c r="H72" t="s">
        <v>107</v>
      </c>
      <c r="I72">
        <v>62644</v>
      </c>
      <c r="J72">
        <v>0</v>
      </c>
      <c r="K72" t="s">
        <v>18</v>
      </c>
      <c r="L72" t="s">
        <v>47</v>
      </c>
    </row>
    <row r="73" spans="1:12" x14ac:dyDescent="0.25">
      <c r="A73" t="s">
        <v>139</v>
      </c>
      <c r="B73" t="s">
        <v>131</v>
      </c>
      <c r="C73">
        <v>67</v>
      </c>
      <c r="D73" t="s">
        <v>25</v>
      </c>
      <c r="E73" t="s">
        <v>33</v>
      </c>
      <c r="F73" t="s">
        <v>34</v>
      </c>
      <c r="G73" s="1">
        <v>45682</v>
      </c>
      <c r="H73" t="s">
        <v>22</v>
      </c>
      <c r="I73">
        <v>33411</v>
      </c>
      <c r="J73">
        <v>3</v>
      </c>
      <c r="K73" t="s">
        <v>18</v>
      </c>
      <c r="L73" t="s">
        <v>19</v>
      </c>
    </row>
    <row r="74" spans="1:12" x14ac:dyDescent="0.25">
      <c r="A74" t="s">
        <v>140</v>
      </c>
      <c r="B74" t="s">
        <v>46</v>
      </c>
      <c r="C74">
        <v>26</v>
      </c>
      <c r="D74" t="s">
        <v>14</v>
      </c>
      <c r="E74" t="s">
        <v>33</v>
      </c>
      <c r="F74" t="s">
        <v>34</v>
      </c>
      <c r="G74" s="1">
        <v>45679</v>
      </c>
      <c r="H74" t="s">
        <v>102</v>
      </c>
      <c r="I74">
        <v>74920</v>
      </c>
      <c r="J74">
        <v>3</v>
      </c>
      <c r="K74" t="s">
        <v>29</v>
      </c>
      <c r="L74" t="s">
        <v>19</v>
      </c>
    </row>
    <row r="75" spans="1:12" x14ac:dyDescent="0.25">
      <c r="A75" t="s">
        <v>141</v>
      </c>
      <c r="B75" t="s">
        <v>49</v>
      </c>
      <c r="C75">
        <v>28</v>
      </c>
      <c r="D75" t="s">
        <v>25</v>
      </c>
      <c r="E75" t="s">
        <v>55</v>
      </c>
      <c r="F75" t="s">
        <v>56</v>
      </c>
      <c r="G75" s="1">
        <v>45682</v>
      </c>
      <c r="H75" t="s">
        <v>68</v>
      </c>
      <c r="I75">
        <v>41768</v>
      </c>
      <c r="J75">
        <v>1</v>
      </c>
      <c r="K75" t="s">
        <v>18</v>
      </c>
      <c r="L75" t="s">
        <v>47</v>
      </c>
    </row>
    <row r="76" spans="1:12" x14ac:dyDescent="0.25">
      <c r="A76" t="s">
        <v>142</v>
      </c>
      <c r="B76" t="s">
        <v>41</v>
      </c>
      <c r="C76">
        <v>43</v>
      </c>
      <c r="D76" t="s">
        <v>25</v>
      </c>
      <c r="E76" t="s">
        <v>26</v>
      </c>
      <c r="F76" t="s">
        <v>27</v>
      </c>
      <c r="G76" s="1">
        <v>45660</v>
      </c>
      <c r="H76" t="s">
        <v>17</v>
      </c>
      <c r="I76">
        <v>14356</v>
      </c>
      <c r="J76">
        <v>11</v>
      </c>
      <c r="K76" t="s">
        <v>29</v>
      </c>
      <c r="L76" t="s">
        <v>19</v>
      </c>
    </row>
    <row r="77" spans="1:12" x14ac:dyDescent="0.25">
      <c r="A77" t="s">
        <v>143</v>
      </c>
      <c r="B77" t="s">
        <v>13</v>
      </c>
      <c r="C77">
        <v>68</v>
      </c>
      <c r="D77" t="s">
        <v>25</v>
      </c>
      <c r="E77" t="s">
        <v>26</v>
      </c>
      <c r="F77" t="s">
        <v>27</v>
      </c>
      <c r="G77" s="1">
        <v>45669</v>
      </c>
      <c r="H77" t="s">
        <v>28</v>
      </c>
      <c r="I77">
        <v>87706</v>
      </c>
      <c r="J77">
        <v>5</v>
      </c>
      <c r="K77" t="s">
        <v>18</v>
      </c>
      <c r="L77" t="s">
        <v>19</v>
      </c>
    </row>
    <row r="78" spans="1:12" x14ac:dyDescent="0.25">
      <c r="A78" t="s">
        <v>144</v>
      </c>
      <c r="B78" t="s">
        <v>59</v>
      </c>
      <c r="C78">
        <v>18</v>
      </c>
      <c r="D78" t="s">
        <v>14</v>
      </c>
      <c r="E78" t="s">
        <v>15</v>
      </c>
      <c r="F78" t="s">
        <v>16</v>
      </c>
      <c r="G78" s="1">
        <v>45684</v>
      </c>
      <c r="H78" t="s">
        <v>74</v>
      </c>
      <c r="I78">
        <v>14833</v>
      </c>
      <c r="J78">
        <v>6</v>
      </c>
      <c r="K78" t="s">
        <v>29</v>
      </c>
      <c r="L78" t="s">
        <v>19</v>
      </c>
    </row>
    <row r="79" spans="1:12" x14ac:dyDescent="0.25">
      <c r="A79" t="s">
        <v>145</v>
      </c>
      <c r="B79" t="s">
        <v>62</v>
      </c>
      <c r="C79">
        <v>45</v>
      </c>
      <c r="D79" t="s">
        <v>25</v>
      </c>
      <c r="E79" t="s">
        <v>37</v>
      </c>
      <c r="F79" t="s">
        <v>38</v>
      </c>
      <c r="G79" s="1">
        <v>45681</v>
      </c>
      <c r="H79" t="s">
        <v>76</v>
      </c>
      <c r="I79">
        <v>86256</v>
      </c>
      <c r="J79">
        <v>4</v>
      </c>
      <c r="K79" t="s">
        <v>29</v>
      </c>
      <c r="L79" t="s">
        <v>47</v>
      </c>
    </row>
    <row r="80" spans="1:12" x14ac:dyDescent="0.25">
      <c r="A80" t="s">
        <v>146</v>
      </c>
      <c r="B80" t="s">
        <v>98</v>
      </c>
      <c r="C80">
        <v>35</v>
      </c>
      <c r="D80" t="s">
        <v>14</v>
      </c>
      <c r="E80" t="s">
        <v>37</v>
      </c>
      <c r="F80" t="s">
        <v>38</v>
      </c>
      <c r="G80" s="1">
        <v>45685</v>
      </c>
      <c r="H80" t="s">
        <v>17</v>
      </c>
      <c r="I80">
        <v>109885</v>
      </c>
      <c r="J80">
        <v>1</v>
      </c>
      <c r="K80" t="s">
        <v>29</v>
      </c>
      <c r="L80" t="s">
        <v>47</v>
      </c>
    </row>
    <row r="81" spans="1:12" x14ac:dyDescent="0.25">
      <c r="A81" t="s">
        <v>147</v>
      </c>
      <c r="B81" t="s">
        <v>88</v>
      </c>
      <c r="C81">
        <v>54</v>
      </c>
      <c r="D81" t="s">
        <v>14</v>
      </c>
      <c r="E81" t="s">
        <v>33</v>
      </c>
      <c r="F81" t="s">
        <v>34</v>
      </c>
      <c r="G81" s="1">
        <v>45668</v>
      </c>
      <c r="H81" t="s">
        <v>22</v>
      </c>
      <c r="I81">
        <v>65789</v>
      </c>
      <c r="J81">
        <v>5</v>
      </c>
      <c r="K81" t="s">
        <v>18</v>
      </c>
      <c r="L81" t="s">
        <v>47</v>
      </c>
    </row>
    <row r="82" spans="1:12" x14ac:dyDescent="0.25">
      <c r="A82" t="s">
        <v>148</v>
      </c>
      <c r="B82" t="s">
        <v>49</v>
      </c>
      <c r="C82">
        <v>69</v>
      </c>
      <c r="D82" t="s">
        <v>14</v>
      </c>
      <c r="E82" t="s">
        <v>33</v>
      </c>
      <c r="F82" t="s">
        <v>34</v>
      </c>
      <c r="G82" s="1">
        <v>45668</v>
      </c>
      <c r="H82" t="s">
        <v>39</v>
      </c>
      <c r="I82">
        <v>116385</v>
      </c>
      <c r="J82">
        <v>9</v>
      </c>
      <c r="K82" t="s">
        <v>29</v>
      </c>
      <c r="L82" t="s">
        <v>19</v>
      </c>
    </row>
    <row r="83" spans="1:12" x14ac:dyDescent="0.25">
      <c r="A83" t="s">
        <v>149</v>
      </c>
      <c r="B83" t="s">
        <v>101</v>
      </c>
      <c r="C83">
        <v>78</v>
      </c>
      <c r="D83" t="s">
        <v>25</v>
      </c>
      <c r="E83" t="s">
        <v>42</v>
      </c>
      <c r="F83" t="s">
        <v>43</v>
      </c>
      <c r="G83" s="1">
        <v>45660</v>
      </c>
      <c r="H83" t="s">
        <v>17</v>
      </c>
      <c r="I83">
        <v>95381</v>
      </c>
      <c r="J83">
        <v>6</v>
      </c>
      <c r="K83" t="s">
        <v>29</v>
      </c>
      <c r="L83" t="s">
        <v>19</v>
      </c>
    </row>
    <row r="84" spans="1:12" x14ac:dyDescent="0.25">
      <c r="A84" t="s">
        <v>150</v>
      </c>
      <c r="B84" t="s">
        <v>72</v>
      </c>
      <c r="C84">
        <v>59</v>
      </c>
      <c r="D84" t="s">
        <v>14</v>
      </c>
      <c r="E84" t="s">
        <v>33</v>
      </c>
      <c r="F84" t="s">
        <v>34</v>
      </c>
      <c r="G84" s="1">
        <v>45672</v>
      </c>
      <c r="H84" t="s">
        <v>22</v>
      </c>
      <c r="I84">
        <v>13196</v>
      </c>
      <c r="J84">
        <v>4</v>
      </c>
      <c r="K84" t="s">
        <v>18</v>
      </c>
      <c r="L84" t="s">
        <v>47</v>
      </c>
    </row>
    <row r="85" spans="1:12" x14ac:dyDescent="0.25">
      <c r="A85" t="s">
        <v>151</v>
      </c>
      <c r="B85" t="s">
        <v>46</v>
      </c>
      <c r="C85">
        <v>37</v>
      </c>
      <c r="D85" t="s">
        <v>14</v>
      </c>
      <c r="E85" t="s">
        <v>15</v>
      </c>
      <c r="F85" t="s">
        <v>16</v>
      </c>
      <c r="G85" s="1">
        <v>45673</v>
      </c>
      <c r="H85" t="s">
        <v>76</v>
      </c>
      <c r="I85">
        <v>46056</v>
      </c>
      <c r="J85">
        <v>6</v>
      </c>
      <c r="K85" t="s">
        <v>29</v>
      </c>
      <c r="L85" t="s">
        <v>47</v>
      </c>
    </row>
    <row r="86" spans="1:12" x14ac:dyDescent="0.25">
      <c r="A86" t="s">
        <v>152</v>
      </c>
      <c r="B86" t="s">
        <v>88</v>
      </c>
      <c r="C86">
        <v>35</v>
      </c>
      <c r="D86" t="s">
        <v>14</v>
      </c>
      <c r="E86" t="s">
        <v>15</v>
      </c>
      <c r="F86" t="s">
        <v>16</v>
      </c>
      <c r="G86" s="1">
        <v>45666</v>
      </c>
      <c r="H86" t="s">
        <v>17</v>
      </c>
      <c r="I86">
        <v>16814</v>
      </c>
      <c r="J86">
        <v>11</v>
      </c>
      <c r="K86" t="s">
        <v>18</v>
      </c>
      <c r="L86" t="s">
        <v>47</v>
      </c>
    </row>
    <row r="87" spans="1:12" x14ac:dyDescent="0.25">
      <c r="A87" t="s">
        <v>153</v>
      </c>
      <c r="B87" t="s">
        <v>21</v>
      </c>
      <c r="C87">
        <v>78</v>
      </c>
      <c r="D87" t="s">
        <v>25</v>
      </c>
      <c r="E87" t="s">
        <v>42</v>
      </c>
      <c r="F87" t="s">
        <v>43</v>
      </c>
      <c r="G87" s="1">
        <v>45664</v>
      </c>
      <c r="H87" t="s">
        <v>35</v>
      </c>
      <c r="I87">
        <v>97810</v>
      </c>
      <c r="J87">
        <v>7</v>
      </c>
      <c r="K87" t="s">
        <v>29</v>
      </c>
      <c r="L87" t="s">
        <v>19</v>
      </c>
    </row>
    <row r="88" spans="1:12" x14ac:dyDescent="0.25">
      <c r="A88" t="s">
        <v>154</v>
      </c>
      <c r="B88" t="s">
        <v>101</v>
      </c>
      <c r="C88">
        <v>56</v>
      </c>
      <c r="D88" t="s">
        <v>14</v>
      </c>
      <c r="E88" t="s">
        <v>26</v>
      </c>
      <c r="F88" t="s">
        <v>27</v>
      </c>
      <c r="G88" s="1">
        <v>45661</v>
      </c>
      <c r="H88" t="s">
        <v>35</v>
      </c>
      <c r="I88">
        <v>39829</v>
      </c>
      <c r="J88">
        <v>3</v>
      </c>
      <c r="K88" t="s">
        <v>29</v>
      </c>
      <c r="L88" t="s">
        <v>30</v>
      </c>
    </row>
    <row r="89" spans="1:12" x14ac:dyDescent="0.25">
      <c r="A89" t="s">
        <v>155</v>
      </c>
      <c r="B89" t="s">
        <v>24</v>
      </c>
      <c r="C89">
        <v>63</v>
      </c>
      <c r="D89" t="s">
        <v>25</v>
      </c>
      <c r="E89" t="s">
        <v>55</v>
      </c>
      <c r="F89" t="s">
        <v>56</v>
      </c>
      <c r="G89" s="1">
        <v>45666</v>
      </c>
      <c r="H89" t="s">
        <v>63</v>
      </c>
      <c r="I89">
        <v>8146</v>
      </c>
      <c r="J89">
        <v>8</v>
      </c>
      <c r="K89" t="s">
        <v>29</v>
      </c>
      <c r="L89" t="s">
        <v>19</v>
      </c>
    </row>
    <row r="90" spans="1:12" x14ac:dyDescent="0.25">
      <c r="A90" t="s">
        <v>156</v>
      </c>
      <c r="B90" t="s">
        <v>72</v>
      </c>
      <c r="C90">
        <v>24</v>
      </c>
      <c r="D90" t="s">
        <v>25</v>
      </c>
      <c r="E90" t="s">
        <v>33</v>
      </c>
      <c r="F90" t="s">
        <v>34</v>
      </c>
      <c r="G90" s="1">
        <v>45676</v>
      </c>
      <c r="H90" t="s">
        <v>119</v>
      </c>
      <c r="I90">
        <v>62524</v>
      </c>
      <c r="J90">
        <v>7</v>
      </c>
      <c r="K90" t="s">
        <v>29</v>
      </c>
      <c r="L90" t="s">
        <v>47</v>
      </c>
    </row>
    <row r="91" spans="1:12" x14ac:dyDescent="0.25">
      <c r="A91" t="s">
        <v>157</v>
      </c>
      <c r="B91" t="s">
        <v>54</v>
      </c>
      <c r="C91">
        <v>34</v>
      </c>
      <c r="D91" t="s">
        <v>14</v>
      </c>
      <c r="E91" t="s">
        <v>33</v>
      </c>
      <c r="F91" t="s">
        <v>34</v>
      </c>
      <c r="G91" s="1">
        <v>45661</v>
      </c>
      <c r="H91" t="s">
        <v>107</v>
      </c>
      <c r="I91">
        <v>53521</v>
      </c>
      <c r="J91">
        <v>7</v>
      </c>
      <c r="K91" t="s">
        <v>18</v>
      </c>
      <c r="L91" t="s">
        <v>19</v>
      </c>
    </row>
    <row r="92" spans="1:12" x14ac:dyDescent="0.25">
      <c r="A92" t="s">
        <v>158</v>
      </c>
      <c r="B92" t="s">
        <v>54</v>
      </c>
      <c r="C92">
        <v>27</v>
      </c>
      <c r="D92" t="s">
        <v>25</v>
      </c>
      <c r="E92" t="s">
        <v>15</v>
      </c>
      <c r="F92" t="s">
        <v>16</v>
      </c>
      <c r="G92" s="1">
        <v>45683</v>
      </c>
      <c r="H92" t="s">
        <v>119</v>
      </c>
      <c r="I92">
        <v>12164</v>
      </c>
      <c r="J92">
        <v>3</v>
      </c>
      <c r="K92" t="s">
        <v>18</v>
      </c>
      <c r="L92" t="s">
        <v>19</v>
      </c>
    </row>
    <row r="93" spans="1:12" x14ac:dyDescent="0.25">
      <c r="A93" t="s">
        <v>159</v>
      </c>
      <c r="B93" t="s">
        <v>70</v>
      </c>
      <c r="C93">
        <v>56</v>
      </c>
      <c r="D93" t="s">
        <v>25</v>
      </c>
      <c r="E93" t="s">
        <v>37</v>
      </c>
      <c r="F93" t="s">
        <v>38</v>
      </c>
      <c r="G93" s="1">
        <v>45682</v>
      </c>
      <c r="H93" t="s">
        <v>76</v>
      </c>
      <c r="I93">
        <v>50856</v>
      </c>
      <c r="J93">
        <v>7</v>
      </c>
      <c r="K93" t="s">
        <v>29</v>
      </c>
      <c r="L93" t="s">
        <v>47</v>
      </c>
    </row>
    <row r="94" spans="1:12" x14ac:dyDescent="0.25">
      <c r="A94" t="s">
        <v>160</v>
      </c>
      <c r="B94" t="s">
        <v>32</v>
      </c>
      <c r="C94">
        <v>37</v>
      </c>
      <c r="D94" t="s">
        <v>25</v>
      </c>
      <c r="E94" t="s">
        <v>26</v>
      </c>
      <c r="F94" t="s">
        <v>27</v>
      </c>
      <c r="G94" s="1">
        <v>45677</v>
      </c>
      <c r="H94" t="s">
        <v>102</v>
      </c>
      <c r="I94">
        <v>100973</v>
      </c>
      <c r="J94">
        <v>3</v>
      </c>
      <c r="K94" t="s">
        <v>18</v>
      </c>
      <c r="L94" t="s">
        <v>47</v>
      </c>
    </row>
    <row r="95" spans="1:12" x14ac:dyDescent="0.25">
      <c r="A95" t="s">
        <v>161</v>
      </c>
      <c r="B95" t="s">
        <v>131</v>
      </c>
      <c r="C95">
        <v>28</v>
      </c>
      <c r="D95" t="s">
        <v>25</v>
      </c>
      <c r="E95" t="s">
        <v>15</v>
      </c>
      <c r="F95" t="s">
        <v>16</v>
      </c>
      <c r="G95" s="1">
        <v>45663</v>
      </c>
      <c r="H95" t="s">
        <v>107</v>
      </c>
      <c r="I95">
        <v>21517</v>
      </c>
      <c r="J95">
        <v>0</v>
      </c>
      <c r="K95" t="s">
        <v>29</v>
      </c>
      <c r="L95" t="s">
        <v>47</v>
      </c>
    </row>
    <row r="96" spans="1:12" x14ac:dyDescent="0.25">
      <c r="A96" t="s">
        <v>162</v>
      </c>
      <c r="B96" t="s">
        <v>70</v>
      </c>
      <c r="C96">
        <v>48</v>
      </c>
      <c r="D96" t="s">
        <v>14</v>
      </c>
      <c r="E96" t="s">
        <v>15</v>
      </c>
      <c r="F96" t="s">
        <v>16</v>
      </c>
      <c r="G96" s="1">
        <v>45659</v>
      </c>
      <c r="H96" t="s">
        <v>17</v>
      </c>
      <c r="I96">
        <v>38762</v>
      </c>
      <c r="J96">
        <v>11</v>
      </c>
      <c r="K96" t="s">
        <v>29</v>
      </c>
      <c r="L96" t="s">
        <v>19</v>
      </c>
    </row>
    <row r="97" spans="1:12" x14ac:dyDescent="0.25">
      <c r="A97" t="s">
        <v>163</v>
      </c>
      <c r="B97" t="s">
        <v>131</v>
      </c>
      <c r="C97">
        <v>61</v>
      </c>
      <c r="D97" t="s">
        <v>25</v>
      </c>
      <c r="E97" t="s">
        <v>37</v>
      </c>
      <c r="F97" t="s">
        <v>38</v>
      </c>
      <c r="G97" s="1">
        <v>45687</v>
      </c>
      <c r="H97" t="s">
        <v>39</v>
      </c>
      <c r="I97">
        <v>104262</v>
      </c>
      <c r="J97">
        <v>12</v>
      </c>
      <c r="K97" t="s">
        <v>18</v>
      </c>
      <c r="L97" t="s">
        <v>47</v>
      </c>
    </row>
    <row r="98" spans="1:12" x14ac:dyDescent="0.25">
      <c r="A98" t="s">
        <v>164</v>
      </c>
      <c r="B98" t="s">
        <v>21</v>
      </c>
      <c r="C98">
        <v>32</v>
      </c>
      <c r="D98" t="s">
        <v>25</v>
      </c>
      <c r="E98" t="s">
        <v>42</v>
      </c>
      <c r="F98" t="s">
        <v>43</v>
      </c>
      <c r="G98" s="1">
        <v>45687</v>
      </c>
      <c r="H98" t="s">
        <v>39</v>
      </c>
      <c r="I98">
        <v>109348</v>
      </c>
      <c r="J98">
        <v>2</v>
      </c>
      <c r="K98" t="s">
        <v>18</v>
      </c>
      <c r="L98" t="s">
        <v>30</v>
      </c>
    </row>
    <row r="99" spans="1:12" x14ac:dyDescent="0.25">
      <c r="A99" t="s">
        <v>165</v>
      </c>
      <c r="B99" t="s">
        <v>92</v>
      </c>
      <c r="C99">
        <v>56</v>
      </c>
      <c r="D99" t="s">
        <v>14</v>
      </c>
      <c r="E99" t="s">
        <v>33</v>
      </c>
      <c r="F99" t="s">
        <v>34</v>
      </c>
      <c r="G99" s="1">
        <v>45672</v>
      </c>
      <c r="H99" t="s">
        <v>102</v>
      </c>
      <c r="I99">
        <v>62433</v>
      </c>
      <c r="J99">
        <v>11</v>
      </c>
      <c r="K99" t="s">
        <v>29</v>
      </c>
      <c r="L99" t="s">
        <v>19</v>
      </c>
    </row>
    <row r="100" spans="1:12" x14ac:dyDescent="0.25">
      <c r="A100" t="s">
        <v>166</v>
      </c>
      <c r="B100" t="s">
        <v>82</v>
      </c>
      <c r="C100">
        <v>50</v>
      </c>
      <c r="D100" t="s">
        <v>14</v>
      </c>
      <c r="E100" t="s">
        <v>37</v>
      </c>
      <c r="F100" t="s">
        <v>38</v>
      </c>
      <c r="G100" s="1">
        <v>45672</v>
      </c>
      <c r="H100" t="s">
        <v>107</v>
      </c>
      <c r="I100">
        <v>79385</v>
      </c>
      <c r="J100">
        <v>0</v>
      </c>
      <c r="K100" t="s">
        <v>29</v>
      </c>
      <c r="L100" t="s">
        <v>19</v>
      </c>
    </row>
    <row r="101" spans="1:12" x14ac:dyDescent="0.25">
      <c r="A101" t="s">
        <v>167</v>
      </c>
      <c r="B101" t="s">
        <v>70</v>
      </c>
      <c r="C101">
        <v>34</v>
      </c>
      <c r="D101" t="s">
        <v>25</v>
      </c>
      <c r="E101" t="s">
        <v>55</v>
      </c>
      <c r="F101" t="s">
        <v>56</v>
      </c>
      <c r="G101" s="1">
        <v>45660</v>
      </c>
      <c r="H101" t="s">
        <v>17</v>
      </c>
      <c r="I101">
        <v>89381</v>
      </c>
      <c r="J101">
        <v>9</v>
      </c>
      <c r="K101" t="s">
        <v>18</v>
      </c>
      <c r="L101" t="s">
        <v>19</v>
      </c>
    </row>
    <row r="102" spans="1:12" x14ac:dyDescent="0.25">
      <c r="A102" t="s">
        <v>168</v>
      </c>
      <c r="B102" t="s">
        <v>98</v>
      </c>
      <c r="C102">
        <v>20</v>
      </c>
      <c r="D102" t="s">
        <v>25</v>
      </c>
      <c r="E102" t="s">
        <v>55</v>
      </c>
      <c r="F102" t="s">
        <v>56</v>
      </c>
      <c r="G102" s="1">
        <v>45673</v>
      </c>
      <c r="H102" t="s">
        <v>76</v>
      </c>
      <c r="I102">
        <v>86394</v>
      </c>
      <c r="J102">
        <v>7</v>
      </c>
      <c r="K102" t="s">
        <v>29</v>
      </c>
      <c r="L102" t="s">
        <v>30</v>
      </c>
    </row>
    <row r="103" spans="1:12" x14ac:dyDescent="0.25">
      <c r="A103" t="s">
        <v>169</v>
      </c>
      <c r="B103" t="s">
        <v>32</v>
      </c>
      <c r="C103">
        <v>58</v>
      </c>
      <c r="D103" t="s">
        <v>14</v>
      </c>
      <c r="E103" t="s">
        <v>26</v>
      </c>
      <c r="F103" t="s">
        <v>27</v>
      </c>
      <c r="G103" s="1">
        <v>45660</v>
      </c>
      <c r="H103" t="s">
        <v>74</v>
      </c>
      <c r="I103">
        <v>46607</v>
      </c>
      <c r="J103">
        <v>6</v>
      </c>
      <c r="K103" t="s">
        <v>29</v>
      </c>
      <c r="L103" t="s">
        <v>47</v>
      </c>
    </row>
    <row r="104" spans="1:12" x14ac:dyDescent="0.25">
      <c r="A104" t="s">
        <v>170</v>
      </c>
      <c r="B104" t="s">
        <v>13</v>
      </c>
      <c r="C104">
        <v>72</v>
      </c>
      <c r="D104" t="s">
        <v>25</v>
      </c>
      <c r="E104" t="s">
        <v>15</v>
      </c>
      <c r="F104" t="s">
        <v>16</v>
      </c>
      <c r="G104" s="1">
        <v>45668</v>
      </c>
      <c r="H104" t="s">
        <v>28</v>
      </c>
      <c r="I104">
        <v>91921</v>
      </c>
      <c r="J104">
        <v>7</v>
      </c>
      <c r="K104" t="s">
        <v>29</v>
      </c>
      <c r="L104" t="s">
        <v>19</v>
      </c>
    </row>
    <row r="105" spans="1:12" x14ac:dyDescent="0.25">
      <c r="A105" t="s">
        <v>171</v>
      </c>
      <c r="B105" t="s">
        <v>21</v>
      </c>
      <c r="C105">
        <v>20</v>
      </c>
      <c r="D105" t="s">
        <v>14</v>
      </c>
      <c r="E105" t="s">
        <v>37</v>
      </c>
      <c r="F105" t="s">
        <v>38</v>
      </c>
      <c r="G105" s="1">
        <v>45660</v>
      </c>
      <c r="H105" t="s">
        <v>57</v>
      </c>
      <c r="I105">
        <v>34082</v>
      </c>
      <c r="J105">
        <v>5</v>
      </c>
      <c r="K105" t="s">
        <v>18</v>
      </c>
      <c r="L105" t="s">
        <v>47</v>
      </c>
    </row>
    <row r="106" spans="1:12" x14ac:dyDescent="0.25">
      <c r="A106" t="s">
        <v>172</v>
      </c>
      <c r="B106" t="s">
        <v>24</v>
      </c>
      <c r="C106">
        <v>60</v>
      </c>
      <c r="D106" t="s">
        <v>14</v>
      </c>
      <c r="E106" t="s">
        <v>26</v>
      </c>
      <c r="F106" t="s">
        <v>27</v>
      </c>
      <c r="G106" s="1">
        <v>45671</v>
      </c>
      <c r="H106" t="s">
        <v>63</v>
      </c>
      <c r="I106">
        <v>25586</v>
      </c>
      <c r="J106">
        <v>8</v>
      </c>
      <c r="K106" t="s">
        <v>29</v>
      </c>
      <c r="L106" t="s">
        <v>19</v>
      </c>
    </row>
    <row r="107" spans="1:12" x14ac:dyDescent="0.25">
      <c r="A107" t="s">
        <v>173</v>
      </c>
      <c r="B107" t="s">
        <v>88</v>
      </c>
      <c r="C107">
        <v>66</v>
      </c>
      <c r="D107" t="s">
        <v>25</v>
      </c>
      <c r="E107" t="s">
        <v>37</v>
      </c>
      <c r="F107" t="s">
        <v>38</v>
      </c>
      <c r="G107" s="1">
        <v>45664</v>
      </c>
      <c r="H107" t="s">
        <v>39</v>
      </c>
      <c r="I107">
        <v>72987</v>
      </c>
      <c r="J107">
        <v>2</v>
      </c>
      <c r="K107" t="s">
        <v>29</v>
      </c>
      <c r="L107" t="s">
        <v>47</v>
      </c>
    </row>
    <row r="108" spans="1:12" x14ac:dyDescent="0.25">
      <c r="A108" t="s">
        <v>174</v>
      </c>
      <c r="B108" t="s">
        <v>72</v>
      </c>
      <c r="C108">
        <v>25</v>
      </c>
      <c r="D108" t="s">
        <v>25</v>
      </c>
      <c r="E108" t="s">
        <v>15</v>
      </c>
      <c r="F108" t="s">
        <v>16</v>
      </c>
      <c r="G108" s="1">
        <v>45678</v>
      </c>
      <c r="H108" t="s">
        <v>17</v>
      </c>
      <c r="I108">
        <v>94032</v>
      </c>
      <c r="J108">
        <v>2</v>
      </c>
      <c r="K108" t="s">
        <v>29</v>
      </c>
      <c r="L108" t="s">
        <v>19</v>
      </c>
    </row>
    <row r="109" spans="1:12" x14ac:dyDescent="0.25">
      <c r="A109" t="s">
        <v>175</v>
      </c>
      <c r="B109" t="s">
        <v>21</v>
      </c>
      <c r="C109">
        <v>44</v>
      </c>
      <c r="D109" t="s">
        <v>25</v>
      </c>
      <c r="E109" t="s">
        <v>42</v>
      </c>
      <c r="F109" t="s">
        <v>43</v>
      </c>
      <c r="G109" s="1">
        <v>45665</v>
      </c>
      <c r="H109" t="s">
        <v>102</v>
      </c>
      <c r="I109">
        <v>61482</v>
      </c>
      <c r="J109">
        <v>1</v>
      </c>
      <c r="K109" t="s">
        <v>18</v>
      </c>
      <c r="L109" t="s">
        <v>47</v>
      </c>
    </row>
    <row r="110" spans="1:12" x14ac:dyDescent="0.25">
      <c r="A110" t="s">
        <v>176</v>
      </c>
      <c r="B110" t="s">
        <v>92</v>
      </c>
      <c r="C110">
        <v>50</v>
      </c>
      <c r="D110" t="s">
        <v>14</v>
      </c>
      <c r="E110" t="s">
        <v>15</v>
      </c>
      <c r="F110" t="s">
        <v>16</v>
      </c>
      <c r="G110" s="1">
        <v>45671</v>
      </c>
      <c r="H110" t="s">
        <v>74</v>
      </c>
      <c r="I110">
        <v>62894</v>
      </c>
      <c r="J110">
        <v>3</v>
      </c>
      <c r="K110" t="s">
        <v>29</v>
      </c>
      <c r="L110" t="s">
        <v>19</v>
      </c>
    </row>
    <row r="111" spans="1:12" x14ac:dyDescent="0.25">
      <c r="A111" t="s">
        <v>177</v>
      </c>
      <c r="B111" t="s">
        <v>41</v>
      </c>
      <c r="C111">
        <v>30</v>
      </c>
      <c r="D111" t="s">
        <v>25</v>
      </c>
      <c r="E111" t="s">
        <v>33</v>
      </c>
      <c r="F111" t="s">
        <v>34</v>
      </c>
      <c r="G111" s="1">
        <v>45685</v>
      </c>
      <c r="H111" t="s">
        <v>107</v>
      </c>
      <c r="I111">
        <v>37208</v>
      </c>
      <c r="J111">
        <v>12</v>
      </c>
      <c r="K111" t="s">
        <v>29</v>
      </c>
      <c r="L111" t="s">
        <v>47</v>
      </c>
    </row>
    <row r="112" spans="1:12" x14ac:dyDescent="0.25">
      <c r="A112" t="s">
        <v>178</v>
      </c>
      <c r="B112" t="s">
        <v>82</v>
      </c>
      <c r="C112">
        <v>70</v>
      </c>
      <c r="D112" t="s">
        <v>25</v>
      </c>
      <c r="E112" t="s">
        <v>26</v>
      </c>
      <c r="F112" t="s">
        <v>27</v>
      </c>
      <c r="G112" s="1">
        <v>45667</v>
      </c>
      <c r="H112" t="s">
        <v>119</v>
      </c>
      <c r="I112">
        <v>110769</v>
      </c>
      <c r="J112">
        <v>9</v>
      </c>
      <c r="K112" t="s">
        <v>29</v>
      </c>
      <c r="L112" t="s">
        <v>30</v>
      </c>
    </row>
    <row r="113" spans="1:12" x14ac:dyDescent="0.25">
      <c r="A113" t="s">
        <v>179</v>
      </c>
      <c r="B113" t="s">
        <v>21</v>
      </c>
      <c r="C113">
        <v>48</v>
      </c>
      <c r="D113" t="s">
        <v>14</v>
      </c>
      <c r="E113" t="s">
        <v>37</v>
      </c>
      <c r="F113" t="s">
        <v>38</v>
      </c>
      <c r="G113" s="1">
        <v>45668</v>
      </c>
      <c r="H113" t="s">
        <v>65</v>
      </c>
      <c r="I113">
        <v>60682</v>
      </c>
      <c r="J113">
        <v>5</v>
      </c>
      <c r="K113" t="s">
        <v>18</v>
      </c>
      <c r="L113" t="s">
        <v>19</v>
      </c>
    </row>
    <row r="114" spans="1:12" x14ac:dyDescent="0.25">
      <c r="A114" t="s">
        <v>180</v>
      </c>
      <c r="B114" t="s">
        <v>98</v>
      </c>
      <c r="C114">
        <v>42</v>
      </c>
      <c r="D114" t="s">
        <v>25</v>
      </c>
      <c r="E114" t="s">
        <v>33</v>
      </c>
      <c r="F114" t="s">
        <v>34</v>
      </c>
      <c r="G114" s="1">
        <v>45685</v>
      </c>
      <c r="H114" t="s">
        <v>28</v>
      </c>
      <c r="I114">
        <v>6720</v>
      </c>
      <c r="J114">
        <v>5</v>
      </c>
      <c r="K114" t="s">
        <v>29</v>
      </c>
      <c r="L114" t="s">
        <v>19</v>
      </c>
    </row>
    <row r="115" spans="1:12" x14ac:dyDescent="0.25">
      <c r="A115" t="s">
        <v>181</v>
      </c>
      <c r="B115" t="s">
        <v>41</v>
      </c>
      <c r="C115">
        <v>60</v>
      </c>
      <c r="D115" t="s">
        <v>25</v>
      </c>
      <c r="E115" t="s">
        <v>37</v>
      </c>
      <c r="F115" t="s">
        <v>38</v>
      </c>
      <c r="G115" s="1">
        <v>45673</v>
      </c>
      <c r="H115" t="s">
        <v>63</v>
      </c>
      <c r="I115">
        <v>17547</v>
      </c>
      <c r="J115">
        <v>8</v>
      </c>
      <c r="K115" t="s">
        <v>29</v>
      </c>
      <c r="L115" t="s">
        <v>30</v>
      </c>
    </row>
    <row r="116" spans="1:12" x14ac:dyDescent="0.25">
      <c r="A116" t="s">
        <v>182</v>
      </c>
      <c r="B116" t="s">
        <v>13</v>
      </c>
      <c r="C116">
        <v>51</v>
      </c>
      <c r="D116" t="s">
        <v>14</v>
      </c>
      <c r="E116" t="s">
        <v>37</v>
      </c>
      <c r="F116" t="s">
        <v>38</v>
      </c>
      <c r="G116" s="1">
        <v>45658</v>
      </c>
      <c r="H116" t="s">
        <v>83</v>
      </c>
      <c r="I116">
        <v>54736</v>
      </c>
      <c r="J116">
        <v>10</v>
      </c>
      <c r="K116" t="s">
        <v>18</v>
      </c>
      <c r="L116" t="s">
        <v>30</v>
      </c>
    </row>
    <row r="117" spans="1:12" x14ac:dyDescent="0.25">
      <c r="A117" t="s">
        <v>183</v>
      </c>
      <c r="B117" t="s">
        <v>82</v>
      </c>
      <c r="C117">
        <v>39</v>
      </c>
      <c r="D117" t="s">
        <v>14</v>
      </c>
      <c r="E117" t="s">
        <v>37</v>
      </c>
      <c r="F117" t="s">
        <v>38</v>
      </c>
      <c r="G117" s="1">
        <v>45678</v>
      </c>
      <c r="H117" t="s">
        <v>107</v>
      </c>
      <c r="I117">
        <v>112642</v>
      </c>
      <c r="J117">
        <v>5</v>
      </c>
      <c r="K117" t="s">
        <v>29</v>
      </c>
      <c r="L117" t="s">
        <v>47</v>
      </c>
    </row>
    <row r="118" spans="1:12" x14ac:dyDescent="0.25">
      <c r="A118" t="s">
        <v>184</v>
      </c>
      <c r="B118" t="s">
        <v>72</v>
      </c>
      <c r="C118">
        <v>73</v>
      </c>
      <c r="D118" t="s">
        <v>25</v>
      </c>
      <c r="E118" t="s">
        <v>15</v>
      </c>
      <c r="F118" t="s">
        <v>16</v>
      </c>
      <c r="G118" s="1">
        <v>45677</v>
      </c>
      <c r="H118" t="s">
        <v>107</v>
      </c>
      <c r="I118">
        <v>31771</v>
      </c>
      <c r="J118">
        <v>10</v>
      </c>
      <c r="K118" t="s">
        <v>29</v>
      </c>
      <c r="L118" t="s">
        <v>30</v>
      </c>
    </row>
    <row r="119" spans="1:12" x14ac:dyDescent="0.25">
      <c r="A119" t="s">
        <v>185</v>
      </c>
      <c r="B119" t="s">
        <v>131</v>
      </c>
      <c r="C119">
        <v>45</v>
      </c>
      <c r="D119" t="s">
        <v>25</v>
      </c>
      <c r="E119" t="s">
        <v>15</v>
      </c>
      <c r="F119" t="s">
        <v>16</v>
      </c>
      <c r="G119" s="1">
        <v>45682</v>
      </c>
      <c r="H119" t="s">
        <v>102</v>
      </c>
      <c r="I119">
        <v>59153</v>
      </c>
      <c r="J119">
        <v>2</v>
      </c>
      <c r="K119" t="s">
        <v>29</v>
      </c>
      <c r="L119" t="s">
        <v>30</v>
      </c>
    </row>
    <row r="120" spans="1:12" x14ac:dyDescent="0.25">
      <c r="A120" t="s">
        <v>186</v>
      </c>
      <c r="B120" t="s">
        <v>59</v>
      </c>
      <c r="C120">
        <v>68</v>
      </c>
      <c r="D120" t="s">
        <v>25</v>
      </c>
      <c r="E120" t="s">
        <v>42</v>
      </c>
      <c r="F120" t="s">
        <v>43</v>
      </c>
      <c r="G120" s="1">
        <v>45667</v>
      </c>
      <c r="H120" t="s">
        <v>44</v>
      </c>
      <c r="I120">
        <v>50131</v>
      </c>
      <c r="J120">
        <v>6</v>
      </c>
      <c r="K120" t="s">
        <v>18</v>
      </c>
      <c r="L120" t="s">
        <v>30</v>
      </c>
    </row>
    <row r="121" spans="1:12" x14ac:dyDescent="0.25">
      <c r="A121" t="s">
        <v>187</v>
      </c>
      <c r="B121" t="s">
        <v>32</v>
      </c>
      <c r="C121">
        <v>54</v>
      </c>
      <c r="D121" t="s">
        <v>25</v>
      </c>
      <c r="E121" t="s">
        <v>26</v>
      </c>
      <c r="F121" t="s">
        <v>27</v>
      </c>
      <c r="G121" s="1">
        <v>45663</v>
      </c>
      <c r="H121" t="s">
        <v>68</v>
      </c>
      <c r="I121">
        <v>11350</v>
      </c>
      <c r="J121">
        <v>9</v>
      </c>
      <c r="K121" t="s">
        <v>29</v>
      </c>
      <c r="L121" t="s">
        <v>19</v>
      </c>
    </row>
    <row r="122" spans="1:12" x14ac:dyDescent="0.25">
      <c r="A122" t="s">
        <v>188</v>
      </c>
      <c r="B122" t="s">
        <v>46</v>
      </c>
      <c r="C122">
        <v>49</v>
      </c>
      <c r="D122" t="s">
        <v>25</v>
      </c>
      <c r="E122" t="s">
        <v>15</v>
      </c>
      <c r="F122" t="s">
        <v>16</v>
      </c>
      <c r="G122" s="1">
        <v>45665</v>
      </c>
      <c r="H122" t="s">
        <v>52</v>
      </c>
      <c r="I122">
        <v>84611</v>
      </c>
      <c r="J122">
        <v>4</v>
      </c>
      <c r="K122" t="s">
        <v>29</v>
      </c>
      <c r="L122" t="s">
        <v>47</v>
      </c>
    </row>
    <row r="123" spans="1:12" x14ac:dyDescent="0.25">
      <c r="A123" t="s">
        <v>189</v>
      </c>
      <c r="B123" t="s">
        <v>24</v>
      </c>
      <c r="C123">
        <v>75</v>
      </c>
      <c r="D123" t="s">
        <v>14</v>
      </c>
      <c r="E123" t="s">
        <v>15</v>
      </c>
      <c r="F123" t="s">
        <v>16</v>
      </c>
      <c r="G123" s="1">
        <v>45686</v>
      </c>
      <c r="H123" t="s">
        <v>119</v>
      </c>
      <c r="I123">
        <v>89815</v>
      </c>
      <c r="J123">
        <v>8</v>
      </c>
      <c r="K123" t="s">
        <v>18</v>
      </c>
      <c r="L123" t="s">
        <v>30</v>
      </c>
    </row>
    <row r="124" spans="1:12" x14ac:dyDescent="0.25">
      <c r="A124" t="s">
        <v>190</v>
      </c>
      <c r="B124" t="s">
        <v>49</v>
      </c>
      <c r="C124">
        <v>55</v>
      </c>
      <c r="D124" t="s">
        <v>14</v>
      </c>
      <c r="E124" t="s">
        <v>37</v>
      </c>
      <c r="F124" t="s">
        <v>38</v>
      </c>
      <c r="G124" s="1">
        <v>45678</v>
      </c>
      <c r="H124" t="s">
        <v>28</v>
      </c>
      <c r="I124">
        <v>91480</v>
      </c>
      <c r="J124">
        <v>4</v>
      </c>
      <c r="K124" t="s">
        <v>29</v>
      </c>
      <c r="L124" t="s">
        <v>47</v>
      </c>
    </row>
    <row r="125" spans="1:12" x14ac:dyDescent="0.25">
      <c r="A125" t="s">
        <v>191</v>
      </c>
      <c r="B125" t="s">
        <v>41</v>
      </c>
      <c r="C125">
        <v>72</v>
      </c>
      <c r="D125" t="s">
        <v>14</v>
      </c>
      <c r="E125" t="s">
        <v>33</v>
      </c>
      <c r="F125" t="s">
        <v>34</v>
      </c>
      <c r="G125" s="1">
        <v>45661</v>
      </c>
      <c r="H125" t="s">
        <v>17</v>
      </c>
      <c r="I125">
        <v>50986</v>
      </c>
      <c r="J125">
        <v>9</v>
      </c>
      <c r="K125" t="s">
        <v>29</v>
      </c>
      <c r="L125" t="s">
        <v>19</v>
      </c>
    </row>
    <row r="126" spans="1:12" x14ac:dyDescent="0.25">
      <c r="A126" t="s">
        <v>192</v>
      </c>
      <c r="B126" t="s">
        <v>92</v>
      </c>
      <c r="C126">
        <v>19</v>
      </c>
      <c r="D126" t="s">
        <v>14</v>
      </c>
      <c r="E126" t="s">
        <v>55</v>
      </c>
      <c r="F126" t="s">
        <v>56</v>
      </c>
      <c r="G126" s="1">
        <v>45666</v>
      </c>
      <c r="H126" t="s">
        <v>22</v>
      </c>
      <c r="I126">
        <v>75177</v>
      </c>
      <c r="J126">
        <v>10</v>
      </c>
      <c r="K126" t="s">
        <v>18</v>
      </c>
      <c r="L126" t="s">
        <v>19</v>
      </c>
    </row>
    <row r="127" spans="1:12" x14ac:dyDescent="0.25">
      <c r="A127" t="s">
        <v>193</v>
      </c>
      <c r="B127" t="s">
        <v>72</v>
      </c>
      <c r="C127">
        <v>71</v>
      </c>
      <c r="D127" t="s">
        <v>14</v>
      </c>
      <c r="E127" t="s">
        <v>15</v>
      </c>
      <c r="F127" t="s">
        <v>16</v>
      </c>
      <c r="G127" s="1">
        <v>45682</v>
      </c>
      <c r="H127" t="s">
        <v>17</v>
      </c>
      <c r="I127">
        <v>80569</v>
      </c>
      <c r="J127">
        <v>12</v>
      </c>
      <c r="K127" t="s">
        <v>29</v>
      </c>
      <c r="L127" t="s">
        <v>30</v>
      </c>
    </row>
    <row r="128" spans="1:12" x14ac:dyDescent="0.25">
      <c r="A128" t="s">
        <v>194</v>
      </c>
      <c r="B128" t="s">
        <v>78</v>
      </c>
      <c r="C128">
        <v>57</v>
      </c>
      <c r="D128" t="s">
        <v>14</v>
      </c>
      <c r="E128" t="s">
        <v>15</v>
      </c>
      <c r="F128" t="s">
        <v>16</v>
      </c>
      <c r="G128" s="1">
        <v>45679</v>
      </c>
      <c r="H128" t="s">
        <v>83</v>
      </c>
      <c r="I128">
        <v>83345</v>
      </c>
      <c r="J128">
        <v>1</v>
      </c>
      <c r="K128" t="s">
        <v>18</v>
      </c>
      <c r="L128" t="s">
        <v>47</v>
      </c>
    </row>
    <row r="129" spans="1:12" x14ac:dyDescent="0.25">
      <c r="A129" t="s">
        <v>195</v>
      </c>
      <c r="B129" t="s">
        <v>54</v>
      </c>
      <c r="C129">
        <v>55</v>
      </c>
      <c r="D129" t="s">
        <v>14</v>
      </c>
      <c r="E129" t="s">
        <v>37</v>
      </c>
      <c r="F129" t="s">
        <v>38</v>
      </c>
      <c r="G129" s="1">
        <v>45681</v>
      </c>
      <c r="H129" t="s">
        <v>83</v>
      </c>
      <c r="I129">
        <v>12813</v>
      </c>
      <c r="J129">
        <v>4</v>
      </c>
      <c r="K129" t="s">
        <v>29</v>
      </c>
      <c r="L129" t="s">
        <v>19</v>
      </c>
    </row>
    <row r="130" spans="1:12" x14ac:dyDescent="0.25">
      <c r="A130" t="s">
        <v>196</v>
      </c>
      <c r="B130" t="s">
        <v>51</v>
      </c>
      <c r="C130">
        <v>30</v>
      </c>
      <c r="D130" t="s">
        <v>25</v>
      </c>
      <c r="E130" t="s">
        <v>37</v>
      </c>
      <c r="F130" t="s">
        <v>38</v>
      </c>
      <c r="G130" s="1">
        <v>45683</v>
      </c>
      <c r="H130" t="s">
        <v>44</v>
      </c>
      <c r="I130">
        <v>70579</v>
      </c>
      <c r="J130">
        <v>8</v>
      </c>
      <c r="K130" t="s">
        <v>29</v>
      </c>
      <c r="L130" t="s">
        <v>30</v>
      </c>
    </row>
    <row r="131" spans="1:12" x14ac:dyDescent="0.25">
      <c r="A131" t="s">
        <v>197</v>
      </c>
      <c r="B131" t="s">
        <v>72</v>
      </c>
      <c r="C131">
        <v>79</v>
      </c>
      <c r="D131" t="s">
        <v>14</v>
      </c>
      <c r="E131" t="s">
        <v>55</v>
      </c>
      <c r="F131" t="s">
        <v>56</v>
      </c>
      <c r="G131" s="1">
        <v>45681</v>
      </c>
      <c r="H131" t="s">
        <v>57</v>
      </c>
      <c r="I131">
        <v>106412</v>
      </c>
      <c r="J131">
        <v>1</v>
      </c>
      <c r="K131" t="s">
        <v>29</v>
      </c>
      <c r="L131" t="s">
        <v>30</v>
      </c>
    </row>
    <row r="132" spans="1:12" x14ac:dyDescent="0.25">
      <c r="A132" t="s">
        <v>198</v>
      </c>
      <c r="B132" t="s">
        <v>46</v>
      </c>
      <c r="C132">
        <v>73</v>
      </c>
      <c r="D132" t="s">
        <v>14</v>
      </c>
      <c r="E132" t="s">
        <v>33</v>
      </c>
      <c r="F132" t="s">
        <v>34</v>
      </c>
      <c r="G132" s="1">
        <v>45688</v>
      </c>
      <c r="H132" t="s">
        <v>44</v>
      </c>
      <c r="I132">
        <v>12836</v>
      </c>
      <c r="J132">
        <v>12</v>
      </c>
      <c r="K132" t="s">
        <v>29</v>
      </c>
      <c r="L132" t="s">
        <v>30</v>
      </c>
    </row>
    <row r="133" spans="1:12" x14ac:dyDescent="0.25">
      <c r="A133" t="s">
        <v>199</v>
      </c>
      <c r="B133" t="s">
        <v>21</v>
      </c>
      <c r="C133">
        <v>25</v>
      </c>
      <c r="D133" t="s">
        <v>14</v>
      </c>
      <c r="E133" t="s">
        <v>55</v>
      </c>
      <c r="F133" t="s">
        <v>56</v>
      </c>
      <c r="G133" s="1">
        <v>45669</v>
      </c>
      <c r="H133" t="s">
        <v>39</v>
      </c>
      <c r="I133">
        <v>77619</v>
      </c>
      <c r="J133">
        <v>6</v>
      </c>
      <c r="K133" t="s">
        <v>29</v>
      </c>
      <c r="L133" t="s">
        <v>30</v>
      </c>
    </row>
    <row r="134" spans="1:12" x14ac:dyDescent="0.25">
      <c r="A134" t="s">
        <v>200</v>
      </c>
      <c r="B134" t="s">
        <v>46</v>
      </c>
      <c r="C134">
        <v>48</v>
      </c>
      <c r="D134" t="s">
        <v>25</v>
      </c>
      <c r="E134" t="s">
        <v>15</v>
      </c>
      <c r="F134" t="s">
        <v>16</v>
      </c>
      <c r="G134" s="1">
        <v>45677</v>
      </c>
      <c r="H134" t="s">
        <v>57</v>
      </c>
      <c r="I134">
        <v>80964</v>
      </c>
      <c r="J134">
        <v>3</v>
      </c>
      <c r="K134" t="s">
        <v>18</v>
      </c>
      <c r="L134" t="s">
        <v>19</v>
      </c>
    </row>
    <row r="135" spans="1:12" x14ac:dyDescent="0.25">
      <c r="A135" t="s">
        <v>201</v>
      </c>
      <c r="B135" t="s">
        <v>92</v>
      </c>
      <c r="C135">
        <v>59</v>
      </c>
      <c r="D135" t="s">
        <v>14</v>
      </c>
      <c r="E135" t="s">
        <v>37</v>
      </c>
      <c r="F135" t="s">
        <v>38</v>
      </c>
      <c r="G135" s="1">
        <v>45661</v>
      </c>
      <c r="H135" t="s">
        <v>83</v>
      </c>
      <c r="I135">
        <v>6943</v>
      </c>
      <c r="J135">
        <v>0</v>
      </c>
      <c r="K135" t="s">
        <v>29</v>
      </c>
      <c r="L135" t="s">
        <v>47</v>
      </c>
    </row>
    <row r="136" spans="1:12" x14ac:dyDescent="0.25">
      <c r="A136" t="s">
        <v>202</v>
      </c>
      <c r="B136" t="s">
        <v>13</v>
      </c>
      <c r="C136">
        <v>33</v>
      </c>
      <c r="D136" t="s">
        <v>25</v>
      </c>
      <c r="E136" t="s">
        <v>42</v>
      </c>
      <c r="F136" t="s">
        <v>43</v>
      </c>
      <c r="G136" s="1">
        <v>45670</v>
      </c>
      <c r="H136" t="s">
        <v>52</v>
      </c>
      <c r="I136">
        <v>49629</v>
      </c>
      <c r="J136">
        <v>10</v>
      </c>
      <c r="K136" t="s">
        <v>29</v>
      </c>
      <c r="L136" t="s">
        <v>19</v>
      </c>
    </row>
    <row r="137" spans="1:12" x14ac:dyDescent="0.25">
      <c r="A137" t="s">
        <v>203</v>
      </c>
      <c r="B137" t="s">
        <v>62</v>
      </c>
      <c r="C137">
        <v>74</v>
      </c>
      <c r="D137" t="s">
        <v>14</v>
      </c>
      <c r="E137" t="s">
        <v>15</v>
      </c>
      <c r="F137" t="s">
        <v>16</v>
      </c>
      <c r="G137" s="1">
        <v>45678</v>
      </c>
      <c r="H137" t="s">
        <v>102</v>
      </c>
      <c r="I137">
        <v>110273</v>
      </c>
      <c r="J137">
        <v>7</v>
      </c>
      <c r="K137" t="s">
        <v>29</v>
      </c>
      <c r="L137" t="s">
        <v>47</v>
      </c>
    </row>
    <row r="138" spans="1:12" x14ac:dyDescent="0.25">
      <c r="A138" t="s">
        <v>204</v>
      </c>
      <c r="B138" t="s">
        <v>49</v>
      </c>
      <c r="C138">
        <v>31</v>
      </c>
      <c r="D138" t="s">
        <v>14</v>
      </c>
      <c r="E138" t="s">
        <v>42</v>
      </c>
      <c r="F138" t="s">
        <v>43</v>
      </c>
      <c r="G138" s="1">
        <v>45672</v>
      </c>
      <c r="H138" t="s">
        <v>17</v>
      </c>
      <c r="I138">
        <v>113125</v>
      </c>
      <c r="J138">
        <v>5</v>
      </c>
      <c r="K138" t="s">
        <v>18</v>
      </c>
      <c r="L138" t="s">
        <v>19</v>
      </c>
    </row>
    <row r="139" spans="1:12" x14ac:dyDescent="0.25">
      <c r="A139" t="s">
        <v>205</v>
      </c>
      <c r="B139" t="s">
        <v>21</v>
      </c>
      <c r="C139">
        <v>75</v>
      </c>
      <c r="D139" t="s">
        <v>14</v>
      </c>
      <c r="E139" t="s">
        <v>55</v>
      </c>
      <c r="F139" t="s">
        <v>56</v>
      </c>
      <c r="G139" s="1">
        <v>45659</v>
      </c>
      <c r="H139" t="s">
        <v>65</v>
      </c>
      <c r="I139">
        <v>37160</v>
      </c>
      <c r="J139">
        <v>3</v>
      </c>
      <c r="K139" t="s">
        <v>18</v>
      </c>
      <c r="L139" t="s">
        <v>47</v>
      </c>
    </row>
    <row r="140" spans="1:12" x14ac:dyDescent="0.25">
      <c r="A140" t="s">
        <v>206</v>
      </c>
      <c r="B140" t="s">
        <v>78</v>
      </c>
      <c r="C140">
        <v>59</v>
      </c>
      <c r="D140" t="s">
        <v>25</v>
      </c>
      <c r="E140" t="s">
        <v>42</v>
      </c>
      <c r="F140" t="s">
        <v>43</v>
      </c>
      <c r="G140" s="1">
        <v>45659</v>
      </c>
      <c r="H140" t="s">
        <v>57</v>
      </c>
      <c r="I140">
        <v>32925</v>
      </c>
      <c r="J140">
        <v>2</v>
      </c>
      <c r="K140" t="s">
        <v>18</v>
      </c>
      <c r="L140" t="s">
        <v>30</v>
      </c>
    </row>
    <row r="141" spans="1:12" x14ac:dyDescent="0.25">
      <c r="A141" t="s">
        <v>207</v>
      </c>
      <c r="B141" t="s">
        <v>78</v>
      </c>
      <c r="C141">
        <v>55</v>
      </c>
      <c r="D141" t="s">
        <v>25</v>
      </c>
      <c r="E141" t="s">
        <v>26</v>
      </c>
      <c r="F141" t="s">
        <v>27</v>
      </c>
      <c r="G141" s="1">
        <v>45684</v>
      </c>
      <c r="H141" t="s">
        <v>17</v>
      </c>
      <c r="I141">
        <v>44064</v>
      </c>
      <c r="J141">
        <v>12</v>
      </c>
      <c r="K141" t="s">
        <v>18</v>
      </c>
      <c r="L141" t="s">
        <v>19</v>
      </c>
    </row>
    <row r="142" spans="1:12" x14ac:dyDescent="0.25">
      <c r="A142" t="s">
        <v>208</v>
      </c>
      <c r="B142" t="s">
        <v>82</v>
      </c>
      <c r="C142">
        <v>72</v>
      </c>
      <c r="D142" t="s">
        <v>25</v>
      </c>
      <c r="E142" t="s">
        <v>42</v>
      </c>
      <c r="F142" t="s">
        <v>43</v>
      </c>
      <c r="G142" s="1">
        <v>45662</v>
      </c>
      <c r="H142" t="s">
        <v>39</v>
      </c>
      <c r="I142">
        <v>105662</v>
      </c>
      <c r="J142">
        <v>2</v>
      </c>
      <c r="K142" t="s">
        <v>18</v>
      </c>
      <c r="L142" t="s">
        <v>19</v>
      </c>
    </row>
    <row r="143" spans="1:12" x14ac:dyDescent="0.25">
      <c r="A143" t="s">
        <v>209</v>
      </c>
      <c r="B143" t="s">
        <v>62</v>
      </c>
      <c r="C143">
        <v>18</v>
      </c>
      <c r="D143" t="s">
        <v>14</v>
      </c>
      <c r="E143" t="s">
        <v>42</v>
      </c>
      <c r="F143" t="s">
        <v>43</v>
      </c>
      <c r="G143" s="1">
        <v>45683</v>
      </c>
      <c r="H143" t="s">
        <v>17</v>
      </c>
      <c r="I143">
        <v>78182</v>
      </c>
      <c r="J143">
        <v>5</v>
      </c>
      <c r="K143" t="s">
        <v>18</v>
      </c>
      <c r="L143" t="s">
        <v>30</v>
      </c>
    </row>
    <row r="144" spans="1:12" x14ac:dyDescent="0.25">
      <c r="A144" t="s">
        <v>210</v>
      </c>
      <c r="B144" t="s">
        <v>54</v>
      </c>
      <c r="C144">
        <v>26</v>
      </c>
      <c r="D144" t="s">
        <v>14</v>
      </c>
      <c r="E144" t="s">
        <v>55</v>
      </c>
      <c r="F144" t="s">
        <v>56</v>
      </c>
      <c r="G144" s="1">
        <v>45674</v>
      </c>
      <c r="H144" t="s">
        <v>102</v>
      </c>
      <c r="I144">
        <v>98735</v>
      </c>
      <c r="J144">
        <v>1</v>
      </c>
      <c r="K144" t="s">
        <v>29</v>
      </c>
      <c r="L144" t="s">
        <v>47</v>
      </c>
    </row>
    <row r="145" spans="1:12" x14ac:dyDescent="0.25">
      <c r="A145" t="s">
        <v>211</v>
      </c>
      <c r="B145" t="s">
        <v>101</v>
      </c>
      <c r="C145">
        <v>55</v>
      </c>
      <c r="D145" t="s">
        <v>25</v>
      </c>
      <c r="E145" t="s">
        <v>55</v>
      </c>
      <c r="F145" t="s">
        <v>56</v>
      </c>
      <c r="G145" s="1">
        <v>45672</v>
      </c>
      <c r="H145" t="s">
        <v>76</v>
      </c>
      <c r="I145">
        <v>30038</v>
      </c>
      <c r="J145">
        <v>9</v>
      </c>
      <c r="K145" t="s">
        <v>18</v>
      </c>
      <c r="L145" t="s">
        <v>19</v>
      </c>
    </row>
    <row r="146" spans="1:12" x14ac:dyDescent="0.25">
      <c r="A146" t="s">
        <v>212</v>
      </c>
      <c r="B146" t="s">
        <v>101</v>
      </c>
      <c r="C146">
        <v>37</v>
      </c>
      <c r="D146" t="s">
        <v>14</v>
      </c>
      <c r="E146" t="s">
        <v>15</v>
      </c>
      <c r="F146" t="s">
        <v>16</v>
      </c>
      <c r="G146" s="1">
        <v>45678</v>
      </c>
      <c r="H146" t="s">
        <v>22</v>
      </c>
      <c r="I146">
        <v>8972</v>
      </c>
      <c r="J146">
        <v>7</v>
      </c>
      <c r="K146" t="s">
        <v>29</v>
      </c>
      <c r="L146" t="s">
        <v>47</v>
      </c>
    </row>
    <row r="147" spans="1:12" x14ac:dyDescent="0.25">
      <c r="A147" t="s">
        <v>213</v>
      </c>
      <c r="B147" t="s">
        <v>13</v>
      </c>
      <c r="C147">
        <v>49</v>
      </c>
      <c r="D147" t="s">
        <v>14</v>
      </c>
      <c r="E147" t="s">
        <v>15</v>
      </c>
      <c r="F147" t="s">
        <v>16</v>
      </c>
      <c r="G147" s="1">
        <v>45660</v>
      </c>
      <c r="H147" t="s">
        <v>107</v>
      </c>
      <c r="I147">
        <v>43219</v>
      </c>
      <c r="J147">
        <v>9</v>
      </c>
      <c r="K147" t="s">
        <v>18</v>
      </c>
      <c r="L147" t="s">
        <v>30</v>
      </c>
    </row>
    <row r="148" spans="1:12" x14ac:dyDescent="0.25">
      <c r="A148" t="s">
        <v>214</v>
      </c>
      <c r="B148" t="s">
        <v>82</v>
      </c>
      <c r="C148">
        <v>57</v>
      </c>
      <c r="D148" t="s">
        <v>14</v>
      </c>
      <c r="E148" t="s">
        <v>33</v>
      </c>
      <c r="F148" t="s">
        <v>34</v>
      </c>
      <c r="G148" s="1">
        <v>45670</v>
      </c>
      <c r="H148" t="s">
        <v>76</v>
      </c>
      <c r="I148">
        <v>39652</v>
      </c>
      <c r="J148">
        <v>7</v>
      </c>
      <c r="K148" t="s">
        <v>29</v>
      </c>
      <c r="L148" t="s">
        <v>30</v>
      </c>
    </row>
    <row r="149" spans="1:12" x14ac:dyDescent="0.25">
      <c r="A149" t="s">
        <v>215</v>
      </c>
      <c r="B149" t="s">
        <v>13</v>
      </c>
      <c r="C149">
        <v>72</v>
      </c>
      <c r="D149" t="s">
        <v>25</v>
      </c>
      <c r="E149" t="s">
        <v>15</v>
      </c>
      <c r="F149" t="s">
        <v>16</v>
      </c>
      <c r="G149" s="1">
        <v>45671</v>
      </c>
      <c r="H149" t="s">
        <v>52</v>
      </c>
      <c r="I149">
        <v>117403</v>
      </c>
      <c r="J149">
        <v>3</v>
      </c>
      <c r="K149" t="s">
        <v>29</v>
      </c>
      <c r="L149" t="s">
        <v>47</v>
      </c>
    </row>
    <row r="150" spans="1:12" x14ac:dyDescent="0.25">
      <c r="A150" t="s">
        <v>216</v>
      </c>
      <c r="B150" t="s">
        <v>41</v>
      </c>
      <c r="C150">
        <v>44</v>
      </c>
      <c r="D150" t="s">
        <v>25</v>
      </c>
      <c r="E150" t="s">
        <v>37</v>
      </c>
      <c r="F150" t="s">
        <v>38</v>
      </c>
      <c r="G150" s="1">
        <v>45668</v>
      </c>
      <c r="H150" t="s">
        <v>28</v>
      </c>
      <c r="I150">
        <v>41963</v>
      </c>
      <c r="J150">
        <v>10</v>
      </c>
      <c r="K150" t="s">
        <v>29</v>
      </c>
      <c r="L150" t="s">
        <v>47</v>
      </c>
    </row>
    <row r="151" spans="1:12" x14ac:dyDescent="0.25">
      <c r="A151" t="s">
        <v>217</v>
      </c>
      <c r="B151" t="s">
        <v>72</v>
      </c>
      <c r="C151">
        <v>22</v>
      </c>
      <c r="D151" t="s">
        <v>25</v>
      </c>
      <c r="E151" t="s">
        <v>33</v>
      </c>
      <c r="F151" t="s">
        <v>34</v>
      </c>
      <c r="G151" s="1">
        <v>45684</v>
      </c>
      <c r="H151" t="s">
        <v>107</v>
      </c>
      <c r="I151">
        <v>13219</v>
      </c>
      <c r="J151">
        <v>6</v>
      </c>
      <c r="K151" t="s">
        <v>18</v>
      </c>
      <c r="L151" t="s">
        <v>19</v>
      </c>
    </row>
    <row r="152" spans="1:12" x14ac:dyDescent="0.25">
      <c r="A152" t="s">
        <v>218</v>
      </c>
      <c r="B152" t="s">
        <v>49</v>
      </c>
      <c r="C152">
        <v>69</v>
      </c>
      <c r="D152" t="s">
        <v>25</v>
      </c>
      <c r="E152" t="s">
        <v>15</v>
      </c>
      <c r="F152" t="s">
        <v>16</v>
      </c>
      <c r="G152" s="1">
        <v>45675</v>
      </c>
      <c r="H152" t="s">
        <v>63</v>
      </c>
      <c r="I152">
        <v>77869</v>
      </c>
      <c r="J152">
        <v>8</v>
      </c>
      <c r="K152" t="s">
        <v>29</v>
      </c>
      <c r="L152" t="s">
        <v>19</v>
      </c>
    </row>
    <row r="153" spans="1:12" x14ac:dyDescent="0.25">
      <c r="A153" t="s">
        <v>219</v>
      </c>
      <c r="B153" t="s">
        <v>32</v>
      </c>
      <c r="C153">
        <v>40</v>
      </c>
      <c r="D153" t="s">
        <v>14</v>
      </c>
      <c r="E153" t="s">
        <v>42</v>
      </c>
      <c r="F153" t="s">
        <v>43</v>
      </c>
      <c r="G153" s="1">
        <v>45685</v>
      </c>
      <c r="H153" t="s">
        <v>63</v>
      </c>
      <c r="I153">
        <v>38700</v>
      </c>
      <c r="J153">
        <v>9</v>
      </c>
      <c r="K153" t="s">
        <v>29</v>
      </c>
      <c r="L153" t="s">
        <v>47</v>
      </c>
    </row>
    <row r="154" spans="1:12" x14ac:dyDescent="0.25">
      <c r="A154" t="s">
        <v>220</v>
      </c>
      <c r="B154" t="s">
        <v>98</v>
      </c>
      <c r="C154">
        <v>50</v>
      </c>
      <c r="D154" t="s">
        <v>25</v>
      </c>
      <c r="E154" t="s">
        <v>42</v>
      </c>
      <c r="F154" t="s">
        <v>43</v>
      </c>
      <c r="G154" s="1">
        <v>45662</v>
      </c>
      <c r="H154" t="s">
        <v>74</v>
      </c>
      <c r="I154">
        <v>30392</v>
      </c>
      <c r="J154">
        <v>1</v>
      </c>
      <c r="K154" t="s">
        <v>29</v>
      </c>
      <c r="L154" t="s">
        <v>19</v>
      </c>
    </row>
    <row r="155" spans="1:12" x14ac:dyDescent="0.25">
      <c r="A155" t="s">
        <v>221</v>
      </c>
      <c r="B155" t="s">
        <v>13</v>
      </c>
      <c r="C155">
        <v>66</v>
      </c>
      <c r="D155" t="s">
        <v>14</v>
      </c>
      <c r="E155" t="s">
        <v>55</v>
      </c>
      <c r="F155" t="s">
        <v>56</v>
      </c>
      <c r="G155" s="1">
        <v>45676</v>
      </c>
      <c r="H155" t="s">
        <v>17</v>
      </c>
      <c r="I155">
        <v>106804</v>
      </c>
      <c r="J155">
        <v>6</v>
      </c>
      <c r="K155" t="s">
        <v>18</v>
      </c>
      <c r="L155" t="s">
        <v>19</v>
      </c>
    </row>
    <row r="156" spans="1:12" x14ac:dyDescent="0.25">
      <c r="A156" t="s">
        <v>222</v>
      </c>
      <c r="B156" t="s">
        <v>82</v>
      </c>
      <c r="C156">
        <v>19</v>
      </c>
      <c r="D156" t="s">
        <v>25</v>
      </c>
      <c r="E156" t="s">
        <v>15</v>
      </c>
      <c r="F156" t="s">
        <v>16</v>
      </c>
      <c r="G156" s="1">
        <v>45666</v>
      </c>
      <c r="H156" t="s">
        <v>119</v>
      </c>
      <c r="I156">
        <v>45541</v>
      </c>
      <c r="J156">
        <v>5</v>
      </c>
      <c r="K156" t="s">
        <v>18</v>
      </c>
      <c r="L156" t="s">
        <v>30</v>
      </c>
    </row>
    <row r="157" spans="1:12" x14ac:dyDescent="0.25">
      <c r="A157" t="s">
        <v>223</v>
      </c>
      <c r="B157" t="s">
        <v>98</v>
      </c>
      <c r="C157">
        <v>60</v>
      </c>
      <c r="D157" t="s">
        <v>14</v>
      </c>
      <c r="E157" t="s">
        <v>33</v>
      </c>
      <c r="F157" t="s">
        <v>34</v>
      </c>
      <c r="G157" s="1">
        <v>45660</v>
      </c>
      <c r="H157" t="s">
        <v>83</v>
      </c>
      <c r="I157">
        <v>98120</v>
      </c>
      <c r="J157">
        <v>10</v>
      </c>
      <c r="K157" t="s">
        <v>18</v>
      </c>
      <c r="L157" t="s">
        <v>30</v>
      </c>
    </row>
    <row r="158" spans="1:12" x14ac:dyDescent="0.25">
      <c r="A158" t="s">
        <v>224</v>
      </c>
      <c r="B158" t="s">
        <v>101</v>
      </c>
      <c r="C158">
        <v>31</v>
      </c>
      <c r="D158" t="s">
        <v>14</v>
      </c>
      <c r="E158" t="s">
        <v>15</v>
      </c>
      <c r="F158" t="s">
        <v>16</v>
      </c>
      <c r="G158" s="1">
        <v>45671</v>
      </c>
      <c r="H158" t="s">
        <v>52</v>
      </c>
      <c r="I158">
        <v>45681</v>
      </c>
      <c r="J158">
        <v>2</v>
      </c>
      <c r="K158" t="s">
        <v>29</v>
      </c>
      <c r="L158" t="s">
        <v>47</v>
      </c>
    </row>
    <row r="159" spans="1:12" x14ac:dyDescent="0.25">
      <c r="A159" t="s">
        <v>225</v>
      </c>
      <c r="B159" t="s">
        <v>59</v>
      </c>
      <c r="C159">
        <v>67</v>
      </c>
      <c r="D159" t="s">
        <v>25</v>
      </c>
      <c r="E159" t="s">
        <v>15</v>
      </c>
      <c r="F159" t="s">
        <v>16</v>
      </c>
      <c r="G159" s="1">
        <v>45686</v>
      </c>
      <c r="H159" t="s">
        <v>63</v>
      </c>
      <c r="I159">
        <v>21392</v>
      </c>
      <c r="J159">
        <v>2</v>
      </c>
      <c r="K159" t="s">
        <v>18</v>
      </c>
      <c r="L159" t="s">
        <v>19</v>
      </c>
    </row>
    <row r="160" spans="1:12" x14ac:dyDescent="0.25">
      <c r="A160" t="s">
        <v>226</v>
      </c>
      <c r="B160" t="s">
        <v>82</v>
      </c>
      <c r="C160">
        <v>46</v>
      </c>
      <c r="D160" t="s">
        <v>14</v>
      </c>
      <c r="E160" t="s">
        <v>42</v>
      </c>
      <c r="F160" t="s">
        <v>43</v>
      </c>
      <c r="G160" s="1">
        <v>45673</v>
      </c>
      <c r="H160" t="s">
        <v>52</v>
      </c>
      <c r="I160">
        <v>55287</v>
      </c>
      <c r="J160">
        <v>4</v>
      </c>
      <c r="K160" t="s">
        <v>18</v>
      </c>
      <c r="L160" t="s">
        <v>19</v>
      </c>
    </row>
    <row r="161" spans="1:12" x14ac:dyDescent="0.25">
      <c r="A161" t="s">
        <v>227</v>
      </c>
      <c r="B161" t="s">
        <v>49</v>
      </c>
      <c r="C161">
        <v>45</v>
      </c>
      <c r="D161" t="s">
        <v>25</v>
      </c>
      <c r="E161" t="s">
        <v>42</v>
      </c>
      <c r="F161" t="s">
        <v>43</v>
      </c>
      <c r="G161" s="1">
        <v>45667</v>
      </c>
      <c r="H161" t="s">
        <v>74</v>
      </c>
      <c r="I161">
        <v>70066</v>
      </c>
      <c r="J161">
        <v>10</v>
      </c>
      <c r="K161" t="s">
        <v>29</v>
      </c>
      <c r="L161" t="s">
        <v>30</v>
      </c>
    </row>
    <row r="162" spans="1:12" x14ac:dyDescent="0.25">
      <c r="A162" t="s">
        <v>228</v>
      </c>
      <c r="B162" t="s">
        <v>41</v>
      </c>
      <c r="C162">
        <v>56</v>
      </c>
      <c r="D162" t="s">
        <v>25</v>
      </c>
      <c r="E162" t="s">
        <v>33</v>
      </c>
      <c r="F162" t="s">
        <v>34</v>
      </c>
      <c r="G162" s="1">
        <v>45658</v>
      </c>
      <c r="H162" t="s">
        <v>35</v>
      </c>
      <c r="I162">
        <v>40507</v>
      </c>
      <c r="J162">
        <v>3</v>
      </c>
      <c r="K162" t="s">
        <v>18</v>
      </c>
      <c r="L162" t="s">
        <v>47</v>
      </c>
    </row>
    <row r="163" spans="1:12" x14ac:dyDescent="0.25">
      <c r="A163" t="s">
        <v>229</v>
      </c>
      <c r="B163" t="s">
        <v>59</v>
      </c>
      <c r="C163">
        <v>25</v>
      </c>
      <c r="D163" t="s">
        <v>25</v>
      </c>
      <c r="E163" t="s">
        <v>55</v>
      </c>
      <c r="F163" t="s">
        <v>56</v>
      </c>
      <c r="G163" s="1">
        <v>45673</v>
      </c>
      <c r="H163" t="s">
        <v>28</v>
      </c>
      <c r="I163">
        <v>24028</v>
      </c>
      <c r="J163">
        <v>2</v>
      </c>
      <c r="K163" t="s">
        <v>29</v>
      </c>
      <c r="L163" t="s">
        <v>19</v>
      </c>
    </row>
    <row r="164" spans="1:12" x14ac:dyDescent="0.25">
      <c r="A164" t="s">
        <v>230</v>
      </c>
      <c r="B164" t="s">
        <v>46</v>
      </c>
      <c r="C164">
        <v>50</v>
      </c>
      <c r="D164" t="s">
        <v>14</v>
      </c>
      <c r="E164" t="s">
        <v>15</v>
      </c>
      <c r="F164" t="s">
        <v>16</v>
      </c>
      <c r="G164" s="1">
        <v>45660</v>
      </c>
      <c r="H164" t="s">
        <v>65</v>
      </c>
      <c r="I164">
        <v>113953</v>
      </c>
      <c r="J164">
        <v>11</v>
      </c>
      <c r="K164" t="s">
        <v>18</v>
      </c>
      <c r="L164" t="s">
        <v>47</v>
      </c>
    </row>
    <row r="165" spans="1:12" x14ac:dyDescent="0.25">
      <c r="A165" t="s">
        <v>231</v>
      </c>
      <c r="B165" t="s">
        <v>88</v>
      </c>
      <c r="C165">
        <v>76</v>
      </c>
      <c r="D165" t="s">
        <v>25</v>
      </c>
      <c r="E165" t="s">
        <v>42</v>
      </c>
      <c r="F165" t="s">
        <v>43</v>
      </c>
      <c r="G165" s="1">
        <v>45685</v>
      </c>
      <c r="H165" t="s">
        <v>57</v>
      </c>
      <c r="I165">
        <v>76465</v>
      </c>
      <c r="J165">
        <v>6</v>
      </c>
      <c r="K165" t="s">
        <v>29</v>
      </c>
      <c r="L165" t="s">
        <v>19</v>
      </c>
    </row>
    <row r="166" spans="1:12" x14ac:dyDescent="0.25">
      <c r="A166" t="s">
        <v>232</v>
      </c>
      <c r="B166" t="s">
        <v>32</v>
      </c>
      <c r="C166">
        <v>36</v>
      </c>
      <c r="D166" t="s">
        <v>25</v>
      </c>
      <c r="E166" t="s">
        <v>15</v>
      </c>
      <c r="F166" t="s">
        <v>16</v>
      </c>
      <c r="G166" s="1">
        <v>45670</v>
      </c>
      <c r="H166" t="s">
        <v>22</v>
      </c>
      <c r="I166">
        <v>43568</v>
      </c>
      <c r="J166">
        <v>2</v>
      </c>
      <c r="K166" t="s">
        <v>29</v>
      </c>
      <c r="L166" t="s">
        <v>19</v>
      </c>
    </row>
    <row r="167" spans="1:12" x14ac:dyDescent="0.25">
      <c r="A167" t="s">
        <v>233</v>
      </c>
      <c r="B167" t="s">
        <v>131</v>
      </c>
      <c r="C167">
        <v>45</v>
      </c>
      <c r="D167" t="s">
        <v>25</v>
      </c>
      <c r="E167" t="s">
        <v>55</v>
      </c>
      <c r="F167" t="s">
        <v>56</v>
      </c>
      <c r="G167" s="1">
        <v>45665</v>
      </c>
      <c r="H167" t="s">
        <v>28</v>
      </c>
      <c r="I167">
        <v>78184</v>
      </c>
      <c r="J167">
        <v>6</v>
      </c>
      <c r="K167" t="s">
        <v>18</v>
      </c>
      <c r="L167" t="s">
        <v>47</v>
      </c>
    </row>
    <row r="168" spans="1:12" x14ac:dyDescent="0.25">
      <c r="A168" t="s">
        <v>234</v>
      </c>
      <c r="B168" t="s">
        <v>59</v>
      </c>
      <c r="C168">
        <v>32</v>
      </c>
      <c r="D168" t="s">
        <v>14</v>
      </c>
      <c r="E168" t="s">
        <v>55</v>
      </c>
      <c r="F168" t="s">
        <v>56</v>
      </c>
      <c r="G168" s="1">
        <v>45682</v>
      </c>
      <c r="H168" t="s">
        <v>68</v>
      </c>
      <c r="I168">
        <v>11011</v>
      </c>
      <c r="J168">
        <v>8</v>
      </c>
      <c r="K168" t="s">
        <v>18</v>
      </c>
      <c r="L168" t="s">
        <v>19</v>
      </c>
    </row>
    <row r="169" spans="1:12" x14ac:dyDescent="0.25">
      <c r="A169" t="s">
        <v>235</v>
      </c>
      <c r="B169" t="s">
        <v>78</v>
      </c>
      <c r="C169">
        <v>75</v>
      </c>
      <c r="D169" t="s">
        <v>14</v>
      </c>
      <c r="E169" t="s">
        <v>26</v>
      </c>
      <c r="F169" t="s">
        <v>27</v>
      </c>
      <c r="G169" s="1">
        <v>45669</v>
      </c>
      <c r="H169" t="s">
        <v>83</v>
      </c>
      <c r="I169">
        <v>31968</v>
      </c>
      <c r="J169">
        <v>1</v>
      </c>
      <c r="K169" t="s">
        <v>18</v>
      </c>
      <c r="L169" t="s">
        <v>47</v>
      </c>
    </row>
    <row r="170" spans="1:12" x14ac:dyDescent="0.25">
      <c r="A170" t="s">
        <v>236</v>
      </c>
      <c r="B170" t="s">
        <v>51</v>
      </c>
      <c r="C170">
        <v>56</v>
      </c>
      <c r="D170" t="s">
        <v>25</v>
      </c>
      <c r="E170" t="s">
        <v>33</v>
      </c>
      <c r="F170" t="s">
        <v>34</v>
      </c>
      <c r="G170" s="1">
        <v>45682</v>
      </c>
      <c r="H170" t="s">
        <v>107</v>
      </c>
      <c r="I170">
        <v>24218</v>
      </c>
      <c r="J170">
        <v>12</v>
      </c>
      <c r="K170" t="s">
        <v>29</v>
      </c>
      <c r="L170" t="s">
        <v>47</v>
      </c>
    </row>
    <row r="171" spans="1:12" x14ac:dyDescent="0.25">
      <c r="A171" t="s">
        <v>237</v>
      </c>
      <c r="B171" t="s">
        <v>98</v>
      </c>
      <c r="C171">
        <v>46</v>
      </c>
      <c r="D171" t="s">
        <v>14</v>
      </c>
      <c r="E171" t="s">
        <v>26</v>
      </c>
      <c r="F171" t="s">
        <v>27</v>
      </c>
      <c r="G171" s="1">
        <v>45685</v>
      </c>
      <c r="H171" t="s">
        <v>57</v>
      </c>
      <c r="I171">
        <v>20786</v>
      </c>
      <c r="J171">
        <v>7</v>
      </c>
      <c r="K171" t="s">
        <v>18</v>
      </c>
      <c r="L171" t="s">
        <v>47</v>
      </c>
    </row>
    <row r="172" spans="1:12" x14ac:dyDescent="0.25">
      <c r="A172" t="s">
        <v>238</v>
      </c>
      <c r="B172" t="s">
        <v>92</v>
      </c>
      <c r="C172">
        <v>68</v>
      </c>
      <c r="D172" t="s">
        <v>14</v>
      </c>
      <c r="E172" t="s">
        <v>37</v>
      </c>
      <c r="F172" t="s">
        <v>38</v>
      </c>
      <c r="G172" s="1">
        <v>45676</v>
      </c>
      <c r="H172" t="s">
        <v>63</v>
      </c>
      <c r="I172">
        <v>47129</v>
      </c>
      <c r="J172">
        <v>8</v>
      </c>
      <c r="K172" t="s">
        <v>18</v>
      </c>
      <c r="L172" t="s">
        <v>47</v>
      </c>
    </row>
    <row r="173" spans="1:12" x14ac:dyDescent="0.25">
      <c r="A173" t="s">
        <v>239</v>
      </c>
      <c r="B173" t="s">
        <v>88</v>
      </c>
      <c r="C173">
        <v>20</v>
      </c>
      <c r="D173" t="s">
        <v>25</v>
      </c>
      <c r="E173" t="s">
        <v>37</v>
      </c>
      <c r="F173" t="s">
        <v>38</v>
      </c>
      <c r="G173" s="1">
        <v>45669</v>
      </c>
      <c r="H173" t="s">
        <v>119</v>
      </c>
      <c r="I173">
        <v>11057</v>
      </c>
      <c r="J173">
        <v>10</v>
      </c>
      <c r="K173" t="s">
        <v>18</v>
      </c>
      <c r="L173" t="s">
        <v>19</v>
      </c>
    </row>
    <row r="174" spans="1:12" x14ac:dyDescent="0.25">
      <c r="A174" t="s">
        <v>240</v>
      </c>
      <c r="B174" t="s">
        <v>101</v>
      </c>
      <c r="C174">
        <v>42</v>
      </c>
      <c r="D174" t="s">
        <v>14</v>
      </c>
      <c r="E174" t="s">
        <v>26</v>
      </c>
      <c r="F174" t="s">
        <v>27</v>
      </c>
      <c r="G174" s="1">
        <v>45676</v>
      </c>
      <c r="H174" t="s">
        <v>63</v>
      </c>
      <c r="I174">
        <v>59947</v>
      </c>
      <c r="J174">
        <v>12</v>
      </c>
      <c r="K174" t="s">
        <v>18</v>
      </c>
      <c r="L174" t="s">
        <v>47</v>
      </c>
    </row>
    <row r="175" spans="1:12" x14ac:dyDescent="0.25">
      <c r="A175" t="s">
        <v>241</v>
      </c>
      <c r="B175" t="s">
        <v>72</v>
      </c>
      <c r="C175">
        <v>50</v>
      </c>
      <c r="D175" t="s">
        <v>25</v>
      </c>
      <c r="E175" t="s">
        <v>26</v>
      </c>
      <c r="F175" t="s">
        <v>27</v>
      </c>
      <c r="G175" s="1">
        <v>45688</v>
      </c>
      <c r="H175" t="s">
        <v>63</v>
      </c>
      <c r="I175">
        <v>60050</v>
      </c>
      <c r="J175">
        <v>1</v>
      </c>
      <c r="K175" t="s">
        <v>29</v>
      </c>
      <c r="L175" t="s">
        <v>19</v>
      </c>
    </row>
    <row r="176" spans="1:12" x14ac:dyDescent="0.25">
      <c r="A176" t="s">
        <v>242</v>
      </c>
      <c r="B176" t="s">
        <v>101</v>
      </c>
      <c r="C176">
        <v>59</v>
      </c>
      <c r="D176" t="s">
        <v>25</v>
      </c>
      <c r="E176" t="s">
        <v>42</v>
      </c>
      <c r="F176" t="s">
        <v>43</v>
      </c>
      <c r="G176" s="1">
        <v>45659</v>
      </c>
      <c r="H176" t="s">
        <v>17</v>
      </c>
      <c r="I176">
        <v>93749</v>
      </c>
      <c r="J176">
        <v>7</v>
      </c>
      <c r="K176" t="s">
        <v>29</v>
      </c>
      <c r="L176" t="s">
        <v>19</v>
      </c>
    </row>
    <row r="177" spans="1:12" x14ac:dyDescent="0.25">
      <c r="A177" t="s">
        <v>243</v>
      </c>
      <c r="B177" t="s">
        <v>70</v>
      </c>
      <c r="C177">
        <v>28</v>
      </c>
      <c r="D177" t="s">
        <v>14</v>
      </c>
      <c r="E177" t="s">
        <v>26</v>
      </c>
      <c r="F177" t="s">
        <v>27</v>
      </c>
      <c r="G177" s="1">
        <v>45669</v>
      </c>
      <c r="H177" t="s">
        <v>119</v>
      </c>
      <c r="I177">
        <v>51779</v>
      </c>
      <c r="J177">
        <v>6</v>
      </c>
      <c r="K177" t="s">
        <v>29</v>
      </c>
      <c r="L177" t="s">
        <v>19</v>
      </c>
    </row>
    <row r="178" spans="1:12" x14ac:dyDescent="0.25">
      <c r="A178" t="s">
        <v>244</v>
      </c>
      <c r="B178" t="s">
        <v>54</v>
      </c>
      <c r="C178">
        <v>68</v>
      </c>
      <c r="D178" t="s">
        <v>14</v>
      </c>
      <c r="E178" t="s">
        <v>26</v>
      </c>
      <c r="F178" t="s">
        <v>27</v>
      </c>
      <c r="G178" s="1">
        <v>45660</v>
      </c>
      <c r="H178" t="s">
        <v>57</v>
      </c>
      <c r="I178">
        <v>13387</v>
      </c>
      <c r="J178">
        <v>8</v>
      </c>
      <c r="K178" t="s">
        <v>29</v>
      </c>
      <c r="L178" t="s">
        <v>47</v>
      </c>
    </row>
    <row r="179" spans="1:12" x14ac:dyDescent="0.25">
      <c r="A179" t="s">
        <v>245</v>
      </c>
      <c r="B179" t="s">
        <v>70</v>
      </c>
      <c r="C179">
        <v>73</v>
      </c>
      <c r="D179" t="s">
        <v>25</v>
      </c>
      <c r="E179" t="s">
        <v>55</v>
      </c>
      <c r="F179" t="s">
        <v>56</v>
      </c>
      <c r="G179" s="1">
        <v>45668</v>
      </c>
      <c r="H179" t="s">
        <v>107</v>
      </c>
      <c r="I179">
        <v>77380</v>
      </c>
      <c r="J179">
        <v>10</v>
      </c>
      <c r="K179" t="s">
        <v>18</v>
      </c>
      <c r="L179" t="s">
        <v>47</v>
      </c>
    </row>
    <row r="180" spans="1:12" x14ac:dyDescent="0.25">
      <c r="A180" t="s">
        <v>246</v>
      </c>
      <c r="B180" t="s">
        <v>41</v>
      </c>
      <c r="C180">
        <v>26</v>
      </c>
      <c r="D180" t="s">
        <v>25</v>
      </c>
      <c r="E180" t="s">
        <v>55</v>
      </c>
      <c r="F180" t="s">
        <v>56</v>
      </c>
      <c r="G180" s="1">
        <v>45667</v>
      </c>
      <c r="H180" t="s">
        <v>65</v>
      </c>
      <c r="I180">
        <v>85343</v>
      </c>
      <c r="J180">
        <v>12</v>
      </c>
      <c r="K180" t="s">
        <v>29</v>
      </c>
      <c r="L180" t="s">
        <v>30</v>
      </c>
    </row>
    <row r="181" spans="1:12" x14ac:dyDescent="0.25">
      <c r="A181" t="s">
        <v>247</v>
      </c>
      <c r="B181" t="s">
        <v>101</v>
      </c>
      <c r="C181">
        <v>23</v>
      </c>
      <c r="D181" t="s">
        <v>14</v>
      </c>
      <c r="E181" t="s">
        <v>15</v>
      </c>
      <c r="F181" t="s">
        <v>16</v>
      </c>
      <c r="G181" s="1">
        <v>45674</v>
      </c>
      <c r="H181" t="s">
        <v>44</v>
      </c>
      <c r="I181">
        <v>3389</v>
      </c>
      <c r="J181">
        <v>5</v>
      </c>
      <c r="K181" t="s">
        <v>29</v>
      </c>
      <c r="L181" t="s">
        <v>30</v>
      </c>
    </row>
    <row r="182" spans="1:12" x14ac:dyDescent="0.25">
      <c r="A182" t="s">
        <v>248</v>
      </c>
      <c r="B182" t="s">
        <v>59</v>
      </c>
      <c r="C182">
        <v>78</v>
      </c>
      <c r="D182" t="s">
        <v>14</v>
      </c>
      <c r="E182" t="s">
        <v>33</v>
      </c>
      <c r="F182" t="s">
        <v>34</v>
      </c>
      <c r="G182" s="1">
        <v>45664</v>
      </c>
      <c r="H182" t="s">
        <v>17</v>
      </c>
      <c r="I182">
        <v>19030</v>
      </c>
      <c r="J182">
        <v>2</v>
      </c>
      <c r="K182" t="s">
        <v>18</v>
      </c>
      <c r="L182" t="s">
        <v>47</v>
      </c>
    </row>
    <row r="183" spans="1:12" x14ac:dyDescent="0.25">
      <c r="A183" t="s">
        <v>249</v>
      </c>
      <c r="B183" t="s">
        <v>101</v>
      </c>
      <c r="C183">
        <v>67</v>
      </c>
      <c r="D183" t="s">
        <v>25</v>
      </c>
      <c r="E183" t="s">
        <v>42</v>
      </c>
      <c r="F183" t="s">
        <v>43</v>
      </c>
      <c r="G183" s="1">
        <v>45679</v>
      </c>
      <c r="H183" t="s">
        <v>57</v>
      </c>
      <c r="I183">
        <v>115870</v>
      </c>
      <c r="J183">
        <v>12</v>
      </c>
      <c r="K183" t="s">
        <v>18</v>
      </c>
      <c r="L183" t="s">
        <v>19</v>
      </c>
    </row>
    <row r="184" spans="1:12" x14ac:dyDescent="0.25">
      <c r="A184" t="s">
        <v>250</v>
      </c>
      <c r="B184" t="s">
        <v>62</v>
      </c>
      <c r="C184">
        <v>28</v>
      </c>
      <c r="D184" t="s">
        <v>25</v>
      </c>
      <c r="E184" t="s">
        <v>37</v>
      </c>
      <c r="F184" t="s">
        <v>38</v>
      </c>
      <c r="G184" s="1">
        <v>45684</v>
      </c>
      <c r="H184" t="s">
        <v>68</v>
      </c>
      <c r="I184">
        <v>95526</v>
      </c>
      <c r="J184">
        <v>7</v>
      </c>
      <c r="K184" t="s">
        <v>18</v>
      </c>
      <c r="L184" t="s">
        <v>47</v>
      </c>
    </row>
    <row r="185" spans="1:12" x14ac:dyDescent="0.25">
      <c r="A185" t="s">
        <v>251</v>
      </c>
      <c r="B185" t="s">
        <v>46</v>
      </c>
      <c r="C185">
        <v>80</v>
      </c>
      <c r="D185" t="s">
        <v>14</v>
      </c>
      <c r="E185" t="s">
        <v>55</v>
      </c>
      <c r="F185" t="s">
        <v>56</v>
      </c>
      <c r="G185" s="1">
        <v>45677</v>
      </c>
      <c r="H185" t="s">
        <v>119</v>
      </c>
      <c r="I185">
        <v>99617</v>
      </c>
      <c r="J185">
        <v>11</v>
      </c>
      <c r="K185" t="s">
        <v>29</v>
      </c>
      <c r="L185" t="s">
        <v>30</v>
      </c>
    </row>
    <row r="186" spans="1:12" x14ac:dyDescent="0.25">
      <c r="A186" t="s">
        <v>252</v>
      </c>
      <c r="B186" t="s">
        <v>46</v>
      </c>
      <c r="C186">
        <v>37</v>
      </c>
      <c r="D186" t="s">
        <v>14</v>
      </c>
      <c r="E186" t="s">
        <v>26</v>
      </c>
      <c r="F186" t="s">
        <v>27</v>
      </c>
      <c r="G186" s="1">
        <v>45686</v>
      </c>
      <c r="H186" t="s">
        <v>35</v>
      </c>
      <c r="I186">
        <v>49213</v>
      </c>
      <c r="J186">
        <v>10</v>
      </c>
      <c r="K186" t="s">
        <v>29</v>
      </c>
      <c r="L186" t="s">
        <v>47</v>
      </c>
    </row>
    <row r="187" spans="1:12" x14ac:dyDescent="0.25">
      <c r="A187" t="s">
        <v>253</v>
      </c>
      <c r="B187" t="s">
        <v>41</v>
      </c>
      <c r="C187">
        <v>50</v>
      </c>
      <c r="D187" t="s">
        <v>14</v>
      </c>
      <c r="E187" t="s">
        <v>55</v>
      </c>
      <c r="F187" t="s">
        <v>56</v>
      </c>
      <c r="G187" s="1">
        <v>45688</v>
      </c>
      <c r="H187" t="s">
        <v>68</v>
      </c>
      <c r="I187">
        <v>108071</v>
      </c>
      <c r="J187">
        <v>3</v>
      </c>
      <c r="K187" t="s">
        <v>18</v>
      </c>
      <c r="L187" t="s">
        <v>47</v>
      </c>
    </row>
    <row r="188" spans="1:12" x14ac:dyDescent="0.25">
      <c r="A188" t="s">
        <v>254</v>
      </c>
      <c r="B188" t="s">
        <v>72</v>
      </c>
      <c r="C188">
        <v>73</v>
      </c>
      <c r="D188" t="s">
        <v>14</v>
      </c>
      <c r="E188" t="s">
        <v>42</v>
      </c>
      <c r="F188" t="s">
        <v>43</v>
      </c>
      <c r="G188" s="1">
        <v>45675</v>
      </c>
      <c r="H188" t="s">
        <v>102</v>
      </c>
      <c r="I188">
        <v>94244</v>
      </c>
      <c r="J188">
        <v>8</v>
      </c>
      <c r="K188" t="s">
        <v>18</v>
      </c>
      <c r="L188" t="s">
        <v>47</v>
      </c>
    </row>
    <row r="189" spans="1:12" x14ac:dyDescent="0.25">
      <c r="A189" t="s">
        <v>255</v>
      </c>
      <c r="B189" t="s">
        <v>51</v>
      </c>
      <c r="C189">
        <v>35</v>
      </c>
      <c r="D189" t="s">
        <v>14</v>
      </c>
      <c r="E189" t="s">
        <v>42</v>
      </c>
      <c r="F189" t="s">
        <v>43</v>
      </c>
      <c r="G189" s="1">
        <v>45686</v>
      </c>
      <c r="H189" t="s">
        <v>76</v>
      </c>
      <c r="I189">
        <v>20313</v>
      </c>
      <c r="J189">
        <v>6</v>
      </c>
      <c r="K189" t="s">
        <v>18</v>
      </c>
      <c r="L189" t="s">
        <v>30</v>
      </c>
    </row>
    <row r="190" spans="1:12" x14ac:dyDescent="0.25">
      <c r="A190" t="s">
        <v>256</v>
      </c>
      <c r="B190" t="s">
        <v>49</v>
      </c>
      <c r="C190">
        <v>77</v>
      </c>
      <c r="D190" t="s">
        <v>25</v>
      </c>
      <c r="E190" t="s">
        <v>37</v>
      </c>
      <c r="F190" t="s">
        <v>38</v>
      </c>
      <c r="G190" s="1">
        <v>45671</v>
      </c>
      <c r="H190" t="s">
        <v>63</v>
      </c>
      <c r="I190">
        <v>52964</v>
      </c>
      <c r="J190">
        <v>8</v>
      </c>
      <c r="K190" t="s">
        <v>29</v>
      </c>
      <c r="L190" t="s">
        <v>30</v>
      </c>
    </row>
    <row r="191" spans="1:12" x14ac:dyDescent="0.25">
      <c r="A191" t="s">
        <v>257</v>
      </c>
      <c r="B191" t="s">
        <v>131</v>
      </c>
      <c r="C191">
        <v>41</v>
      </c>
      <c r="D191" t="s">
        <v>25</v>
      </c>
      <c r="E191" t="s">
        <v>37</v>
      </c>
      <c r="F191" t="s">
        <v>38</v>
      </c>
      <c r="G191" s="1">
        <v>45658</v>
      </c>
      <c r="H191" t="s">
        <v>57</v>
      </c>
      <c r="I191">
        <v>13987</v>
      </c>
      <c r="J191">
        <v>11</v>
      </c>
      <c r="K191" t="s">
        <v>29</v>
      </c>
      <c r="L191" t="s">
        <v>30</v>
      </c>
    </row>
    <row r="192" spans="1:12" x14ac:dyDescent="0.25">
      <c r="A192" t="s">
        <v>258</v>
      </c>
      <c r="B192" t="s">
        <v>54</v>
      </c>
      <c r="C192">
        <v>36</v>
      </c>
      <c r="D192" t="s">
        <v>14</v>
      </c>
      <c r="E192" t="s">
        <v>33</v>
      </c>
      <c r="F192" t="s">
        <v>34</v>
      </c>
      <c r="G192" s="1">
        <v>45680</v>
      </c>
      <c r="H192" t="s">
        <v>83</v>
      </c>
      <c r="I192">
        <v>100462</v>
      </c>
      <c r="J192">
        <v>11</v>
      </c>
      <c r="K192" t="s">
        <v>29</v>
      </c>
      <c r="L192" t="s">
        <v>47</v>
      </c>
    </row>
    <row r="193" spans="1:12" x14ac:dyDescent="0.25">
      <c r="A193" t="s">
        <v>259</v>
      </c>
      <c r="B193" t="s">
        <v>24</v>
      </c>
      <c r="C193">
        <v>75</v>
      </c>
      <c r="D193" t="s">
        <v>25</v>
      </c>
      <c r="E193" t="s">
        <v>26</v>
      </c>
      <c r="F193" t="s">
        <v>27</v>
      </c>
      <c r="G193" s="1">
        <v>45658</v>
      </c>
      <c r="H193" t="s">
        <v>39</v>
      </c>
      <c r="I193">
        <v>29266</v>
      </c>
      <c r="J193">
        <v>2</v>
      </c>
      <c r="K193" t="s">
        <v>29</v>
      </c>
      <c r="L193" t="s">
        <v>30</v>
      </c>
    </row>
    <row r="194" spans="1:12" x14ac:dyDescent="0.25">
      <c r="A194" t="s">
        <v>260</v>
      </c>
      <c r="B194" t="s">
        <v>46</v>
      </c>
      <c r="C194">
        <v>37</v>
      </c>
      <c r="D194" t="s">
        <v>25</v>
      </c>
      <c r="E194" t="s">
        <v>55</v>
      </c>
      <c r="F194" t="s">
        <v>56</v>
      </c>
      <c r="G194" s="1">
        <v>45659</v>
      </c>
      <c r="H194" t="s">
        <v>17</v>
      </c>
      <c r="I194">
        <v>56027</v>
      </c>
      <c r="J194">
        <v>10</v>
      </c>
      <c r="K194" t="s">
        <v>29</v>
      </c>
      <c r="L194" t="s">
        <v>30</v>
      </c>
    </row>
    <row r="195" spans="1:12" x14ac:dyDescent="0.25">
      <c r="A195" t="s">
        <v>261</v>
      </c>
      <c r="B195" t="s">
        <v>72</v>
      </c>
      <c r="C195">
        <v>56</v>
      </c>
      <c r="D195" t="s">
        <v>25</v>
      </c>
      <c r="E195" t="s">
        <v>42</v>
      </c>
      <c r="F195" t="s">
        <v>43</v>
      </c>
      <c r="G195" s="1">
        <v>45678</v>
      </c>
      <c r="H195" t="s">
        <v>76</v>
      </c>
      <c r="I195">
        <v>76372</v>
      </c>
      <c r="J195">
        <v>3</v>
      </c>
      <c r="K195" t="s">
        <v>18</v>
      </c>
      <c r="L195" t="s">
        <v>47</v>
      </c>
    </row>
    <row r="196" spans="1:12" x14ac:dyDescent="0.25">
      <c r="A196" t="s">
        <v>262</v>
      </c>
      <c r="B196" t="s">
        <v>24</v>
      </c>
      <c r="C196">
        <v>57</v>
      </c>
      <c r="D196" t="s">
        <v>14</v>
      </c>
      <c r="E196" t="s">
        <v>37</v>
      </c>
      <c r="F196" t="s">
        <v>38</v>
      </c>
      <c r="G196" s="1">
        <v>45665</v>
      </c>
      <c r="H196" t="s">
        <v>28</v>
      </c>
      <c r="I196">
        <v>25551</v>
      </c>
      <c r="J196">
        <v>10</v>
      </c>
      <c r="K196" t="s">
        <v>18</v>
      </c>
      <c r="L196" t="s">
        <v>19</v>
      </c>
    </row>
    <row r="197" spans="1:12" x14ac:dyDescent="0.25">
      <c r="A197" t="s">
        <v>263</v>
      </c>
      <c r="B197" t="s">
        <v>131</v>
      </c>
      <c r="C197">
        <v>79</v>
      </c>
      <c r="D197" t="s">
        <v>25</v>
      </c>
      <c r="E197" t="s">
        <v>55</v>
      </c>
      <c r="F197" t="s">
        <v>56</v>
      </c>
      <c r="G197" s="1">
        <v>45670</v>
      </c>
      <c r="H197" t="s">
        <v>74</v>
      </c>
      <c r="I197">
        <v>6706</v>
      </c>
      <c r="J197">
        <v>10</v>
      </c>
      <c r="K197" t="s">
        <v>29</v>
      </c>
      <c r="L197" t="s">
        <v>47</v>
      </c>
    </row>
    <row r="198" spans="1:12" x14ac:dyDescent="0.25">
      <c r="A198" t="s">
        <v>264</v>
      </c>
      <c r="B198" t="s">
        <v>24</v>
      </c>
      <c r="C198">
        <v>40</v>
      </c>
      <c r="D198" t="s">
        <v>25</v>
      </c>
      <c r="E198" t="s">
        <v>55</v>
      </c>
      <c r="F198" t="s">
        <v>56</v>
      </c>
      <c r="G198" s="1">
        <v>45669</v>
      </c>
      <c r="H198" t="s">
        <v>17</v>
      </c>
      <c r="I198">
        <v>97068</v>
      </c>
      <c r="J198">
        <v>10</v>
      </c>
      <c r="K198" t="s">
        <v>18</v>
      </c>
      <c r="L198" t="s">
        <v>19</v>
      </c>
    </row>
    <row r="199" spans="1:12" x14ac:dyDescent="0.25">
      <c r="A199" t="s">
        <v>265</v>
      </c>
      <c r="B199" t="s">
        <v>59</v>
      </c>
      <c r="C199">
        <v>26</v>
      </c>
      <c r="D199" t="s">
        <v>25</v>
      </c>
      <c r="E199" t="s">
        <v>15</v>
      </c>
      <c r="F199" t="s">
        <v>16</v>
      </c>
      <c r="G199" s="1">
        <v>45669</v>
      </c>
      <c r="H199" t="s">
        <v>57</v>
      </c>
      <c r="I199">
        <v>107628</v>
      </c>
      <c r="J199">
        <v>10</v>
      </c>
      <c r="K199" t="s">
        <v>18</v>
      </c>
      <c r="L199" t="s">
        <v>19</v>
      </c>
    </row>
    <row r="200" spans="1:12" x14ac:dyDescent="0.25">
      <c r="A200" t="s">
        <v>266</v>
      </c>
      <c r="B200" t="s">
        <v>72</v>
      </c>
      <c r="C200">
        <v>58</v>
      </c>
      <c r="D200" t="s">
        <v>25</v>
      </c>
      <c r="E200" t="s">
        <v>37</v>
      </c>
      <c r="F200" t="s">
        <v>38</v>
      </c>
      <c r="G200" s="1">
        <v>45683</v>
      </c>
      <c r="H200" t="s">
        <v>83</v>
      </c>
      <c r="I200">
        <v>9270</v>
      </c>
      <c r="J200">
        <v>11</v>
      </c>
      <c r="K200" t="s">
        <v>29</v>
      </c>
      <c r="L200" t="s">
        <v>30</v>
      </c>
    </row>
    <row r="201" spans="1:12" x14ac:dyDescent="0.25">
      <c r="A201" t="s">
        <v>267</v>
      </c>
      <c r="B201" t="s">
        <v>78</v>
      </c>
      <c r="C201">
        <v>20</v>
      </c>
      <c r="D201" t="s">
        <v>25</v>
      </c>
      <c r="E201" t="s">
        <v>55</v>
      </c>
      <c r="F201" t="s">
        <v>56</v>
      </c>
      <c r="G201" s="1">
        <v>45686</v>
      </c>
      <c r="H201" t="s">
        <v>63</v>
      </c>
      <c r="I201">
        <v>42365</v>
      </c>
      <c r="J201">
        <v>4</v>
      </c>
      <c r="K201" t="s">
        <v>29</v>
      </c>
      <c r="L201" t="s">
        <v>19</v>
      </c>
    </row>
    <row r="202" spans="1:12" x14ac:dyDescent="0.25">
      <c r="A202" t="s">
        <v>268</v>
      </c>
      <c r="B202" t="s">
        <v>82</v>
      </c>
      <c r="C202">
        <v>20</v>
      </c>
      <c r="D202" t="s">
        <v>25</v>
      </c>
      <c r="E202" t="s">
        <v>37</v>
      </c>
      <c r="F202" t="s">
        <v>38</v>
      </c>
      <c r="G202" s="1">
        <v>45667</v>
      </c>
      <c r="H202" t="s">
        <v>44</v>
      </c>
      <c r="I202">
        <v>114002</v>
      </c>
      <c r="J202">
        <v>12</v>
      </c>
      <c r="K202" t="s">
        <v>18</v>
      </c>
      <c r="L202" t="s">
        <v>19</v>
      </c>
    </row>
    <row r="203" spans="1:12" x14ac:dyDescent="0.25">
      <c r="A203" t="s">
        <v>269</v>
      </c>
      <c r="B203" t="s">
        <v>82</v>
      </c>
      <c r="C203">
        <v>25</v>
      </c>
      <c r="D203" t="s">
        <v>14</v>
      </c>
      <c r="E203" t="s">
        <v>55</v>
      </c>
      <c r="F203" t="s">
        <v>56</v>
      </c>
      <c r="G203" s="1">
        <v>45671</v>
      </c>
      <c r="H203" t="s">
        <v>65</v>
      </c>
      <c r="I203">
        <v>98426</v>
      </c>
      <c r="J203">
        <v>7</v>
      </c>
      <c r="K203" t="s">
        <v>29</v>
      </c>
      <c r="L203" t="s">
        <v>47</v>
      </c>
    </row>
    <row r="204" spans="1:12" x14ac:dyDescent="0.25">
      <c r="A204" t="s">
        <v>270</v>
      </c>
      <c r="B204" t="s">
        <v>72</v>
      </c>
      <c r="C204">
        <v>62</v>
      </c>
      <c r="D204" t="s">
        <v>14</v>
      </c>
      <c r="E204" t="s">
        <v>33</v>
      </c>
      <c r="F204" t="s">
        <v>34</v>
      </c>
      <c r="G204" s="1">
        <v>45669</v>
      </c>
      <c r="H204" t="s">
        <v>76</v>
      </c>
      <c r="I204">
        <v>35959</v>
      </c>
      <c r="J204">
        <v>12</v>
      </c>
      <c r="K204" t="s">
        <v>18</v>
      </c>
      <c r="L204" t="s">
        <v>19</v>
      </c>
    </row>
    <row r="205" spans="1:12" x14ac:dyDescent="0.25">
      <c r="A205" t="s">
        <v>271</v>
      </c>
      <c r="B205" t="s">
        <v>131</v>
      </c>
      <c r="C205">
        <v>45</v>
      </c>
      <c r="D205" t="s">
        <v>25</v>
      </c>
      <c r="E205" t="s">
        <v>37</v>
      </c>
      <c r="F205" t="s">
        <v>38</v>
      </c>
      <c r="G205" s="1">
        <v>45675</v>
      </c>
      <c r="H205" t="s">
        <v>119</v>
      </c>
      <c r="I205">
        <v>43101</v>
      </c>
      <c r="J205">
        <v>1</v>
      </c>
      <c r="K205" t="s">
        <v>18</v>
      </c>
      <c r="L205" t="s">
        <v>47</v>
      </c>
    </row>
    <row r="206" spans="1:12" x14ac:dyDescent="0.25">
      <c r="A206" t="s">
        <v>272</v>
      </c>
      <c r="B206" t="s">
        <v>92</v>
      </c>
      <c r="C206">
        <v>37</v>
      </c>
      <c r="D206" t="s">
        <v>14</v>
      </c>
      <c r="E206" t="s">
        <v>15</v>
      </c>
      <c r="F206" t="s">
        <v>16</v>
      </c>
      <c r="G206" s="1">
        <v>45677</v>
      </c>
      <c r="H206" t="s">
        <v>28</v>
      </c>
      <c r="I206">
        <v>22842</v>
      </c>
      <c r="J206">
        <v>11</v>
      </c>
      <c r="K206" t="s">
        <v>29</v>
      </c>
      <c r="L206" t="s">
        <v>47</v>
      </c>
    </row>
    <row r="207" spans="1:12" x14ac:dyDescent="0.25">
      <c r="A207" t="s">
        <v>273</v>
      </c>
      <c r="B207" t="s">
        <v>54</v>
      </c>
      <c r="C207">
        <v>64</v>
      </c>
      <c r="D207" t="s">
        <v>14</v>
      </c>
      <c r="E207" t="s">
        <v>37</v>
      </c>
      <c r="F207" t="s">
        <v>38</v>
      </c>
      <c r="G207" s="1">
        <v>45677</v>
      </c>
      <c r="H207" t="s">
        <v>28</v>
      </c>
      <c r="I207">
        <v>36986</v>
      </c>
      <c r="J207">
        <v>10</v>
      </c>
      <c r="K207" t="s">
        <v>18</v>
      </c>
      <c r="L207" t="s">
        <v>30</v>
      </c>
    </row>
    <row r="208" spans="1:12" x14ac:dyDescent="0.25">
      <c r="A208" t="s">
        <v>274</v>
      </c>
      <c r="B208" t="s">
        <v>41</v>
      </c>
      <c r="C208">
        <v>41</v>
      </c>
      <c r="D208" t="s">
        <v>25</v>
      </c>
      <c r="E208" t="s">
        <v>15</v>
      </c>
      <c r="F208" t="s">
        <v>16</v>
      </c>
      <c r="G208" s="1">
        <v>45688</v>
      </c>
      <c r="H208" t="s">
        <v>22</v>
      </c>
      <c r="I208">
        <v>19714</v>
      </c>
      <c r="J208">
        <v>9</v>
      </c>
      <c r="K208" t="s">
        <v>29</v>
      </c>
      <c r="L208" t="s">
        <v>30</v>
      </c>
    </row>
    <row r="209" spans="1:12" x14ac:dyDescent="0.25">
      <c r="A209" t="s">
        <v>275</v>
      </c>
      <c r="B209" t="s">
        <v>131</v>
      </c>
      <c r="C209">
        <v>33</v>
      </c>
      <c r="D209" t="s">
        <v>14</v>
      </c>
      <c r="E209" t="s">
        <v>33</v>
      </c>
      <c r="F209" t="s">
        <v>34</v>
      </c>
      <c r="G209" s="1">
        <v>45669</v>
      </c>
      <c r="H209" t="s">
        <v>65</v>
      </c>
      <c r="I209">
        <v>75349</v>
      </c>
      <c r="J209">
        <v>0</v>
      </c>
      <c r="K209" t="s">
        <v>18</v>
      </c>
      <c r="L209" t="s">
        <v>19</v>
      </c>
    </row>
    <row r="210" spans="1:12" x14ac:dyDescent="0.25">
      <c r="A210" t="s">
        <v>276</v>
      </c>
      <c r="B210" t="s">
        <v>49</v>
      </c>
      <c r="C210">
        <v>41</v>
      </c>
      <c r="D210" t="s">
        <v>14</v>
      </c>
      <c r="E210" t="s">
        <v>37</v>
      </c>
      <c r="F210" t="s">
        <v>38</v>
      </c>
      <c r="G210" s="1">
        <v>45682</v>
      </c>
      <c r="H210" t="s">
        <v>107</v>
      </c>
      <c r="I210">
        <v>76225</v>
      </c>
      <c r="J210">
        <v>2</v>
      </c>
      <c r="K210" t="s">
        <v>29</v>
      </c>
      <c r="L210" t="s">
        <v>47</v>
      </c>
    </row>
    <row r="211" spans="1:12" x14ac:dyDescent="0.25">
      <c r="A211" t="s">
        <v>277</v>
      </c>
      <c r="B211" t="s">
        <v>82</v>
      </c>
      <c r="C211">
        <v>33</v>
      </c>
      <c r="D211" t="s">
        <v>25</v>
      </c>
      <c r="E211" t="s">
        <v>55</v>
      </c>
      <c r="F211" t="s">
        <v>56</v>
      </c>
      <c r="G211" s="1">
        <v>45658</v>
      </c>
      <c r="H211" t="s">
        <v>68</v>
      </c>
      <c r="I211">
        <v>66410</v>
      </c>
      <c r="J211">
        <v>8</v>
      </c>
      <c r="K211" t="s">
        <v>29</v>
      </c>
      <c r="L211" t="s">
        <v>19</v>
      </c>
    </row>
    <row r="212" spans="1:12" x14ac:dyDescent="0.25">
      <c r="A212" t="s">
        <v>278</v>
      </c>
      <c r="B212" t="s">
        <v>82</v>
      </c>
      <c r="C212">
        <v>67</v>
      </c>
      <c r="D212" t="s">
        <v>14</v>
      </c>
      <c r="E212" t="s">
        <v>42</v>
      </c>
      <c r="F212" t="s">
        <v>43</v>
      </c>
      <c r="G212" s="1">
        <v>45680</v>
      </c>
      <c r="H212" t="s">
        <v>52</v>
      </c>
      <c r="I212">
        <v>29124</v>
      </c>
      <c r="J212">
        <v>9</v>
      </c>
      <c r="K212" t="s">
        <v>29</v>
      </c>
      <c r="L212" t="s">
        <v>19</v>
      </c>
    </row>
    <row r="213" spans="1:12" x14ac:dyDescent="0.25">
      <c r="A213" t="s">
        <v>279</v>
      </c>
      <c r="B213" t="s">
        <v>78</v>
      </c>
      <c r="C213">
        <v>25</v>
      </c>
      <c r="D213" t="s">
        <v>25</v>
      </c>
      <c r="E213" t="s">
        <v>37</v>
      </c>
      <c r="F213" t="s">
        <v>38</v>
      </c>
      <c r="G213" s="1">
        <v>45685</v>
      </c>
      <c r="H213" t="s">
        <v>107</v>
      </c>
      <c r="I213">
        <v>60250</v>
      </c>
      <c r="J213">
        <v>2</v>
      </c>
      <c r="K213" t="s">
        <v>29</v>
      </c>
      <c r="L213" t="s">
        <v>30</v>
      </c>
    </row>
    <row r="214" spans="1:12" x14ac:dyDescent="0.25">
      <c r="A214" t="s">
        <v>280</v>
      </c>
      <c r="B214" t="s">
        <v>59</v>
      </c>
      <c r="C214">
        <v>60</v>
      </c>
      <c r="D214" t="s">
        <v>14</v>
      </c>
      <c r="E214" t="s">
        <v>15</v>
      </c>
      <c r="F214" t="s">
        <v>16</v>
      </c>
      <c r="G214" s="1">
        <v>45680</v>
      </c>
      <c r="H214" t="s">
        <v>107</v>
      </c>
      <c r="I214">
        <v>73089</v>
      </c>
      <c r="J214">
        <v>8</v>
      </c>
      <c r="K214" t="s">
        <v>29</v>
      </c>
      <c r="L214" t="s">
        <v>47</v>
      </c>
    </row>
    <row r="215" spans="1:12" x14ac:dyDescent="0.25">
      <c r="A215" t="s">
        <v>281</v>
      </c>
      <c r="B215" t="s">
        <v>51</v>
      </c>
      <c r="C215">
        <v>68</v>
      </c>
      <c r="D215" t="s">
        <v>14</v>
      </c>
      <c r="E215" t="s">
        <v>33</v>
      </c>
      <c r="F215" t="s">
        <v>34</v>
      </c>
      <c r="G215" s="1">
        <v>45674</v>
      </c>
      <c r="H215" t="s">
        <v>17</v>
      </c>
      <c r="I215">
        <v>16907</v>
      </c>
      <c r="J215">
        <v>3</v>
      </c>
      <c r="K215" t="s">
        <v>18</v>
      </c>
      <c r="L215" t="s">
        <v>30</v>
      </c>
    </row>
    <row r="216" spans="1:12" x14ac:dyDescent="0.25">
      <c r="A216" t="s">
        <v>282</v>
      </c>
      <c r="B216" t="s">
        <v>24</v>
      </c>
      <c r="C216">
        <v>41</v>
      </c>
      <c r="D216" t="s">
        <v>14</v>
      </c>
      <c r="E216" t="s">
        <v>37</v>
      </c>
      <c r="F216" t="s">
        <v>38</v>
      </c>
      <c r="G216" s="1">
        <v>45672</v>
      </c>
      <c r="H216" t="s">
        <v>83</v>
      </c>
      <c r="I216">
        <v>81209</v>
      </c>
      <c r="J216">
        <v>1</v>
      </c>
      <c r="K216" t="s">
        <v>18</v>
      </c>
      <c r="L216" t="s">
        <v>47</v>
      </c>
    </row>
    <row r="217" spans="1:12" x14ac:dyDescent="0.25">
      <c r="A217" t="s">
        <v>283</v>
      </c>
      <c r="B217" t="s">
        <v>72</v>
      </c>
      <c r="C217">
        <v>51</v>
      </c>
      <c r="D217" t="s">
        <v>14</v>
      </c>
      <c r="E217" t="s">
        <v>37</v>
      </c>
      <c r="F217" t="s">
        <v>38</v>
      </c>
      <c r="G217" s="1">
        <v>45682</v>
      </c>
      <c r="H217" t="s">
        <v>28</v>
      </c>
      <c r="I217">
        <v>108916</v>
      </c>
      <c r="J217">
        <v>9</v>
      </c>
      <c r="K217" t="s">
        <v>18</v>
      </c>
      <c r="L217" t="s">
        <v>30</v>
      </c>
    </row>
    <row r="218" spans="1:12" x14ac:dyDescent="0.25">
      <c r="A218" t="s">
        <v>284</v>
      </c>
      <c r="B218" t="s">
        <v>131</v>
      </c>
      <c r="C218">
        <v>46</v>
      </c>
      <c r="D218" t="s">
        <v>14</v>
      </c>
      <c r="E218" t="s">
        <v>55</v>
      </c>
      <c r="F218" t="s">
        <v>56</v>
      </c>
      <c r="G218" s="1">
        <v>45679</v>
      </c>
      <c r="H218" t="s">
        <v>76</v>
      </c>
      <c r="I218">
        <v>46156</v>
      </c>
      <c r="J218">
        <v>2</v>
      </c>
      <c r="K218" t="s">
        <v>18</v>
      </c>
      <c r="L218" t="s">
        <v>30</v>
      </c>
    </row>
    <row r="219" spans="1:12" x14ac:dyDescent="0.25">
      <c r="A219" t="s">
        <v>285</v>
      </c>
      <c r="B219" t="s">
        <v>101</v>
      </c>
      <c r="C219">
        <v>76</v>
      </c>
      <c r="D219" t="s">
        <v>25</v>
      </c>
      <c r="E219" t="s">
        <v>37</v>
      </c>
      <c r="F219" t="s">
        <v>38</v>
      </c>
      <c r="G219" s="1">
        <v>45684</v>
      </c>
      <c r="H219" t="s">
        <v>102</v>
      </c>
      <c r="I219">
        <v>68908</v>
      </c>
      <c r="J219">
        <v>2</v>
      </c>
      <c r="K219" t="s">
        <v>29</v>
      </c>
      <c r="L219" t="s">
        <v>30</v>
      </c>
    </row>
    <row r="220" spans="1:12" x14ac:dyDescent="0.25">
      <c r="A220" t="s">
        <v>286</v>
      </c>
      <c r="B220" t="s">
        <v>59</v>
      </c>
      <c r="C220">
        <v>77</v>
      </c>
      <c r="D220" t="s">
        <v>25</v>
      </c>
      <c r="E220" t="s">
        <v>33</v>
      </c>
      <c r="F220" t="s">
        <v>34</v>
      </c>
      <c r="G220" s="1">
        <v>45669</v>
      </c>
      <c r="H220" t="s">
        <v>76</v>
      </c>
      <c r="I220">
        <v>118299</v>
      </c>
      <c r="J220">
        <v>4</v>
      </c>
      <c r="K220" t="s">
        <v>18</v>
      </c>
      <c r="L220" t="s">
        <v>47</v>
      </c>
    </row>
    <row r="221" spans="1:12" x14ac:dyDescent="0.25">
      <c r="A221" t="s">
        <v>287</v>
      </c>
      <c r="B221" t="s">
        <v>21</v>
      </c>
      <c r="C221">
        <v>35</v>
      </c>
      <c r="D221" t="s">
        <v>25</v>
      </c>
      <c r="E221" t="s">
        <v>33</v>
      </c>
      <c r="F221" t="s">
        <v>34</v>
      </c>
      <c r="G221" s="1">
        <v>45678</v>
      </c>
      <c r="H221" t="s">
        <v>119</v>
      </c>
      <c r="I221">
        <v>81534</v>
      </c>
      <c r="J221">
        <v>8</v>
      </c>
      <c r="K221" t="s">
        <v>18</v>
      </c>
      <c r="L221" t="s">
        <v>19</v>
      </c>
    </row>
    <row r="222" spans="1:12" x14ac:dyDescent="0.25">
      <c r="A222" t="s">
        <v>288</v>
      </c>
      <c r="B222" t="s">
        <v>51</v>
      </c>
      <c r="C222">
        <v>55</v>
      </c>
      <c r="D222" t="s">
        <v>25</v>
      </c>
      <c r="E222" t="s">
        <v>15</v>
      </c>
      <c r="F222" t="s">
        <v>16</v>
      </c>
      <c r="G222" s="1">
        <v>45663</v>
      </c>
      <c r="H222" t="s">
        <v>57</v>
      </c>
      <c r="I222">
        <v>111432</v>
      </c>
      <c r="J222">
        <v>9</v>
      </c>
      <c r="K222" t="s">
        <v>18</v>
      </c>
      <c r="L222" t="s">
        <v>30</v>
      </c>
    </row>
    <row r="223" spans="1:12" x14ac:dyDescent="0.25">
      <c r="A223" t="s">
        <v>289</v>
      </c>
      <c r="B223" t="s">
        <v>54</v>
      </c>
      <c r="C223">
        <v>78</v>
      </c>
      <c r="D223" t="s">
        <v>14</v>
      </c>
      <c r="E223" t="s">
        <v>42</v>
      </c>
      <c r="F223" t="s">
        <v>43</v>
      </c>
      <c r="G223" s="1">
        <v>45678</v>
      </c>
      <c r="H223" t="s">
        <v>35</v>
      </c>
      <c r="I223">
        <v>101526</v>
      </c>
      <c r="J223">
        <v>9</v>
      </c>
      <c r="K223" t="s">
        <v>29</v>
      </c>
      <c r="L223" t="s">
        <v>19</v>
      </c>
    </row>
    <row r="224" spans="1:12" x14ac:dyDescent="0.25">
      <c r="A224" t="s">
        <v>290</v>
      </c>
      <c r="B224" t="s">
        <v>24</v>
      </c>
      <c r="C224">
        <v>49</v>
      </c>
      <c r="D224" t="s">
        <v>14</v>
      </c>
      <c r="E224" t="s">
        <v>15</v>
      </c>
      <c r="F224" t="s">
        <v>16</v>
      </c>
      <c r="G224" s="1">
        <v>45678</v>
      </c>
      <c r="H224" t="s">
        <v>119</v>
      </c>
      <c r="I224">
        <v>64300</v>
      </c>
      <c r="J224">
        <v>3</v>
      </c>
      <c r="K224" t="s">
        <v>29</v>
      </c>
      <c r="L224" t="s">
        <v>47</v>
      </c>
    </row>
    <row r="225" spans="1:12" x14ac:dyDescent="0.25">
      <c r="A225" t="s">
        <v>291</v>
      </c>
      <c r="B225" t="s">
        <v>131</v>
      </c>
      <c r="C225">
        <v>62</v>
      </c>
      <c r="D225" t="s">
        <v>25</v>
      </c>
      <c r="E225" t="s">
        <v>37</v>
      </c>
      <c r="F225" t="s">
        <v>38</v>
      </c>
      <c r="G225" s="1">
        <v>45663</v>
      </c>
      <c r="H225" t="s">
        <v>52</v>
      </c>
      <c r="I225">
        <v>55476</v>
      </c>
      <c r="J225">
        <v>7</v>
      </c>
      <c r="K225" t="s">
        <v>29</v>
      </c>
      <c r="L225" t="s">
        <v>30</v>
      </c>
    </row>
    <row r="226" spans="1:12" x14ac:dyDescent="0.25">
      <c r="A226" t="s">
        <v>292</v>
      </c>
      <c r="B226" t="s">
        <v>70</v>
      </c>
      <c r="C226">
        <v>27</v>
      </c>
      <c r="D226" t="s">
        <v>14</v>
      </c>
      <c r="E226" t="s">
        <v>55</v>
      </c>
      <c r="F226" t="s">
        <v>56</v>
      </c>
      <c r="G226" s="1">
        <v>45685</v>
      </c>
      <c r="H226" t="s">
        <v>57</v>
      </c>
      <c r="I226">
        <v>97233</v>
      </c>
      <c r="J226">
        <v>5</v>
      </c>
      <c r="K226" t="s">
        <v>29</v>
      </c>
      <c r="L226" t="s">
        <v>30</v>
      </c>
    </row>
    <row r="227" spans="1:12" x14ac:dyDescent="0.25">
      <c r="A227" t="s">
        <v>293</v>
      </c>
      <c r="B227" t="s">
        <v>101</v>
      </c>
      <c r="C227">
        <v>53</v>
      </c>
      <c r="D227" t="s">
        <v>25</v>
      </c>
      <c r="E227" t="s">
        <v>55</v>
      </c>
      <c r="F227" t="s">
        <v>56</v>
      </c>
      <c r="G227" s="1">
        <v>45668</v>
      </c>
      <c r="H227" t="s">
        <v>17</v>
      </c>
      <c r="I227">
        <v>62141</v>
      </c>
      <c r="J227">
        <v>1</v>
      </c>
      <c r="K227" t="s">
        <v>29</v>
      </c>
      <c r="L227" t="s">
        <v>47</v>
      </c>
    </row>
    <row r="228" spans="1:12" x14ac:dyDescent="0.25">
      <c r="A228" t="s">
        <v>294</v>
      </c>
      <c r="B228" t="s">
        <v>62</v>
      </c>
      <c r="C228">
        <v>24</v>
      </c>
      <c r="D228" t="s">
        <v>25</v>
      </c>
      <c r="E228" t="s">
        <v>33</v>
      </c>
      <c r="F228" t="s">
        <v>34</v>
      </c>
      <c r="G228" s="1">
        <v>45667</v>
      </c>
      <c r="H228" t="s">
        <v>65</v>
      </c>
      <c r="I228">
        <v>114267</v>
      </c>
      <c r="J228">
        <v>9</v>
      </c>
      <c r="K228" t="s">
        <v>29</v>
      </c>
      <c r="L228" t="s">
        <v>30</v>
      </c>
    </row>
    <row r="229" spans="1:12" x14ac:dyDescent="0.25">
      <c r="A229" t="s">
        <v>295</v>
      </c>
      <c r="B229" t="s">
        <v>59</v>
      </c>
      <c r="C229">
        <v>77</v>
      </c>
      <c r="D229" t="s">
        <v>14</v>
      </c>
      <c r="E229" t="s">
        <v>33</v>
      </c>
      <c r="F229" t="s">
        <v>34</v>
      </c>
      <c r="G229" s="1">
        <v>45664</v>
      </c>
      <c r="H229" t="s">
        <v>68</v>
      </c>
      <c r="I229">
        <v>66308</v>
      </c>
      <c r="J229">
        <v>8</v>
      </c>
      <c r="K229" t="s">
        <v>29</v>
      </c>
      <c r="L229" t="s">
        <v>47</v>
      </c>
    </row>
    <row r="230" spans="1:12" x14ac:dyDescent="0.25">
      <c r="A230" t="s">
        <v>296</v>
      </c>
      <c r="B230" t="s">
        <v>72</v>
      </c>
      <c r="C230">
        <v>19</v>
      </c>
      <c r="D230" t="s">
        <v>25</v>
      </c>
      <c r="E230" t="s">
        <v>55</v>
      </c>
      <c r="F230" t="s">
        <v>56</v>
      </c>
      <c r="G230" s="1">
        <v>45688</v>
      </c>
      <c r="H230" t="s">
        <v>65</v>
      </c>
      <c r="I230">
        <v>67249</v>
      </c>
      <c r="J230">
        <v>7</v>
      </c>
      <c r="K230" t="s">
        <v>18</v>
      </c>
      <c r="L230" t="s">
        <v>30</v>
      </c>
    </row>
    <row r="231" spans="1:12" x14ac:dyDescent="0.25">
      <c r="A231" t="s">
        <v>297</v>
      </c>
      <c r="B231" t="s">
        <v>49</v>
      </c>
      <c r="C231">
        <v>21</v>
      </c>
      <c r="D231" t="s">
        <v>25</v>
      </c>
      <c r="E231" t="s">
        <v>26</v>
      </c>
      <c r="F231" t="s">
        <v>27</v>
      </c>
      <c r="G231" s="1">
        <v>45667</v>
      </c>
      <c r="H231" t="s">
        <v>74</v>
      </c>
      <c r="I231">
        <v>79317</v>
      </c>
      <c r="J231">
        <v>10</v>
      </c>
      <c r="K231" t="s">
        <v>29</v>
      </c>
      <c r="L231" t="s">
        <v>47</v>
      </c>
    </row>
    <row r="232" spans="1:12" x14ac:dyDescent="0.25">
      <c r="A232" t="s">
        <v>298</v>
      </c>
      <c r="B232" t="s">
        <v>24</v>
      </c>
      <c r="C232">
        <v>72</v>
      </c>
      <c r="D232" t="s">
        <v>25</v>
      </c>
      <c r="E232" t="s">
        <v>26</v>
      </c>
      <c r="F232" t="s">
        <v>27</v>
      </c>
      <c r="G232" s="1">
        <v>45671</v>
      </c>
      <c r="H232" t="s">
        <v>83</v>
      </c>
      <c r="I232">
        <v>116665</v>
      </c>
      <c r="J232">
        <v>4</v>
      </c>
      <c r="K232" t="s">
        <v>29</v>
      </c>
      <c r="L232" t="s">
        <v>47</v>
      </c>
    </row>
    <row r="233" spans="1:12" x14ac:dyDescent="0.25">
      <c r="A233" t="s">
        <v>299</v>
      </c>
      <c r="B233" t="s">
        <v>54</v>
      </c>
      <c r="C233">
        <v>43</v>
      </c>
      <c r="D233" t="s">
        <v>25</v>
      </c>
      <c r="E233" t="s">
        <v>55</v>
      </c>
      <c r="F233" t="s">
        <v>56</v>
      </c>
      <c r="G233" s="1">
        <v>45676</v>
      </c>
      <c r="H233" t="s">
        <v>35</v>
      </c>
      <c r="I233">
        <v>48516</v>
      </c>
      <c r="J233">
        <v>8</v>
      </c>
      <c r="K233" t="s">
        <v>29</v>
      </c>
      <c r="L233" t="s">
        <v>30</v>
      </c>
    </row>
    <row r="234" spans="1:12" x14ac:dyDescent="0.25">
      <c r="A234" t="s">
        <v>300</v>
      </c>
      <c r="B234" t="s">
        <v>101</v>
      </c>
      <c r="C234">
        <v>46</v>
      </c>
      <c r="D234" t="s">
        <v>14</v>
      </c>
      <c r="E234" t="s">
        <v>37</v>
      </c>
      <c r="F234" t="s">
        <v>38</v>
      </c>
      <c r="G234" s="1">
        <v>45684</v>
      </c>
      <c r="H234" t="s">
        <v>102</v>
      </c>
      <c r="I234">
        <v>17864</v>
      </c>
      <c r="J234">
        <v>1</v>
      </c>
      <c r="K234" t="s">
        <v>29</v>
      </c>
      <c r="L234" t="s">
        <v>47</v>
      </c>
    </row>
    <row r="235" spans="1:12" x14ac:dyDescent="0.25">
      <c r="A235" t="s">
        <v>301</v>
      </c>
      <c r="B235" t="s">
        <v>21</v>
      </c>
      <c r="C235">
        <v>78</v>
      </c>
      <c r="D235" t="s">
        <v>14</v>
      </c>
      <c r="E235" t="s">
        <v>55</v>
      </c>
      <c r="F235" t="s">
        <v>56</v>
      </c>
      <c r="G235" s="1">
        <v>45682</v>
      </c>
      <c r="H235" t="s">
        <v>83</v>
      </c>
      <c r="I235">
        <v>27090</v>
      </c>
      <c r="J235">
        <v>9</v>
      </c>
      <c r="K235" t="s">
        <v>29</v>
      </c>
      <c r="L235" t="s">
        <v>19</v>
      </c>
    </row>
    <row r="236" spans="1:12" x14ac:dyDescent="0.25">
      <c r="A236" t="s">
        <v>302</v>
      </c>
      <c r="B236" t="s">
        <v>54</v>
      </c>
      <c r="C236">
        <v>20</v>
      </c>
      <c r="D236" t="s">
        <v>25</v>
      </c>
      <c r="E236" t="s">
        <v>42</v>
      </c>
      <c r="F236" t="s">
        <v>43</v>
      </c>
      <c r="G236" s="1">
        <v>45680</v>
      </c>
      <c r="H236" t="s">
        <v>57</v>
      </c>
      <c r="I236">
        <v>106377</v>
      </c>
      <c r="J236">
        <v>7</v>
      </c>
      <c r="K236" t="s">
        <v>29</v>
      </c>
      <c r="L236" t="s">
        <v>30</v>
      </c>
    </row>
    <row r="237" spans="1:12" x14ac:dyDescent="0.25">
      <c r="A237" t="s">
        <v>303</v>
      </c>
      <c r="B237" t="s">
        <v>101</v>
      </c>
      <c r="C237">
        <v>26</v>
      </c>
      <c r="D237" t="s">
        <v>14</v>
      </c>
      <c r="E237" t="s">
        <v>26</v>
      </c>
      <c r="F237" t="s">
        <v>27</v>
      </c>
      <c r="G237" s="1">
        <v>45687</v>
      </c>
      <c r="H237" t="s">
        <v>57</v>
      </c>
      <c r="I237">
        <v>22299</v>
      </c>
      <c r="J237">
        <v>6</v>
      </c>
      <c r="K237" t="s">
        <v>29</v>
      </c>
      <c r="L237" t="s">
        <v>19</v>
      </c>
    </row>
    <row r="238" spans="1:12" x14ac:dyDescent="0.25">
      <c r="A238" t="s">
        <v>304</v>
      </c>
      <c r="B238" t="s">
        <v>101</v>
      </c>
      <c r="C238">
        <v>71</v>
      </c>
      <c r="D238" t="s">
        <v>14</v>
      </c>
      <c r="E238" t="s">
        <v>55</v>
      </c>
      <c r="F238" t="s">
        <v>56</v>
      </c>
      <c r="G238" s="1">
        <v>45680</v>
      </c>
      <c r="H238" t="s">
        <v>119</v>
      </c>
      <c r="I238">
        <v>63245</v>
      </c>
      <c r="J238">
        <v>0</v>
      </c>
      <c r="K238" t="s">
        <v>29</v>
      </c>
      <c r="L238" t="s">
        <v>47</v>
      </c>
    </row>
    <row r="239" spans="1:12" x14ac:dyDescent="0.25">
      <c r="A239" t="s">
        <v>305</v>
      </c>
      <c r="B239" t="s">
        <v>13</v>
      </c>
      <c r="C239">
        <v>80</v>
      </c>
      <c r="D239" t="s">
        <v>14</v>
      </c>
      <c r="E239" t="s">
        <v>15</v>
      </c>
      <c r="F239" t="s">
        <v>16</v>
      </c>
      <c r="G239" s="1">
        <v>45676</v>
      </c>
      <c r="H239" t="s">
        <v>119</v>
      </c>
      <c r="I239">
        <v>105432</v>
      </c>
      <c r="J239">
        <v>11</v>
      </c>
      <c r="K239" t="s">
        <v>18</v>
      </c>
      <c r="L239" t="s">
        <v>19</v>
      </c>
    </row>
    <row r="240" spans="1:12" x14ac:dyDescent="0.25">
      <c r="A240" t="s">
        <v>306</v>
      </c>
      <c r="B240" t="s">
        <v>82</v>
      </c>
      <c r="C240">
        <v>79</v>
      </c>
      <c r="D240" t="s">
        <v>25</v>
      </c>
      <c r="E240" t="s">
        <v>37</v>
      </c>
      <c r="F240" t="s">
        <v>38</v>
      </c>
      <c r="G240" s="1">
        <v>45681</v>
      </c>
      <c r="H240" t="s">
        <v>63</v>
      </c>
      <c r="I240">
        <v>77483</v>
      </c>
      <c r="J240">
        <v>7</v>
      </c>
      <c r="K240" t="s">
        <v>18</v>
      </c>
      <c r="L240" t="s">
        <v>19</v>
      </c>
    </row>
    <row r="241" spans="1:12" x14ac:dyDescent="0.25">
      <c r="A241" t="s">
        <v>307</v>
      </c>
      <c r="B241" t="s">
        <v>70</v>
      </c>
      <c r="C241">
        <v>67</v>
      </c>
      <c r="D241" t="s">
        <v>14</v>
      </c>
      <c r="E241" t="s">
        <v>15</v>
      </c>
      <c r="F241" t="s">
        <v>16</v>
      </c>
      <c r="G241" s="1">
        <v>45662</v>
      </c>
      <c r="H241" t="s">
        <v>17</v>
      </c>
      <c r="I241">
        <v>5138</v>
      </c>
      <c r="J241">
        <v>9</v>
      </c>
      <c r="K241" t="s">
        <v>18</v>
      </c>
      <c r="L241" t="s">
        <v>30</v>
      </c>
    </row>
    <row r="242" spans="1:12" x14ac:dyDescent="0.25">
      <c r="A242" t="s">
        <v>308</v>
      </c>
      <c r="B242" t="s">
        <v>88</v>
      </c>
      <c r="C242">
        <v>38</v>
      </c>
      <c r="D242" t="s">
        <v>14</v>
      </c>
      <c r="E242" t="s">
        <v>42</v>
      </c>
      <c r="F242" t="s">
        <v>43</v>
      </c>
      <c r="G242" s="1">
        <v>45662</v>
      </c>
      <c r="H242" t="s">
        <v>28</v>
      </c>
      <c r="I242">
        <v>91505</v>
      </c>
      <c r="J242">
        <v>3</v>
      </c>
      <c r="K242" t="s">
        <v>29</v>
      </c>
      <c r="L242" t="s">
        <v>19</v>
      </c>
    </row>
    <row r="243" spans="1:12" x14ac:dyDescent="0.25">
      <c r="A243" t="s">
        <v>309</v>
      </c>
      <c r="B243" t="s">
        <v>72</v>
      </c>
      <c r="C243">
        <v>73</v>
      </c>
      <c r="D243" t="s">
        <v>25</v>
      </c>
      <c r="E243" t="s">
        <v>26</v>
      </c>
      <c r="F243" t="s">
        <v>27</v>
      </c>
      <c r="G243" s="1">
        <v>45680</v>
      </c>
      <c r="H243" t="s">
        <v>83</v>
      </c>
      <c r="I243">
        <v>68984</v>
      </c>
      <c r="J243">
        <v>3</v>
      </c>
      <c r="K243" t="s">
        <v>29</v>
      </c>
      <c r="L243" t="s">
        <v>19</v>
      </c>
    </row>
    <row r="244" spans="1:12" x14ac:dyDescent="0.25">
      <c r="A244" t="s">
        <v>310</v>
      </c>
      <c r="B244" t="s">
        <v>101</v>
      </c>
      <c r="C244">
        <v>42</v>
      </c>
      <c r="D244" t="s">
        <v>14</v>
      </c>
      <c r="E244" t="s">
        <v>37</v>
      </c>
      <c r="F244" t="s">
        <v>38</v>
      </c>
      <c r="G244" s="1">
        <v>45688</v>
      </c>
      <c r="H244" t="s">
        <v>68</v>
      </c>
      <c r="I244">
        <v>61249</v>
      </c>
      <c r="J244">
        <v>8</v>
      </c>
      <c r="K244" t="s">
        <v>29</v>
      </c>
      <c r="L244" t="s">
        <v>19</v>
      </c>
    </row>
    <row r="245" spans="1:12" x14ac:dyDescent="0.25">
      <c r="A245" t="s">
        <v>311</v>
      </c>
      <c r="B245" t="s">
        <v>82</v>
      </c>
      <c r="C245">
        <v>57</v>
      </c>
      <c r="D245" t="s">
        <v>14</v>
      </c>
      <c r="E245" t="s">
        <v>55</v>
      </c>
      <c r="F245" t="s">
        <v>56</v>
      </c>
      <c r="G245" s="1">
        <v>45664</v>
      </c>
      <c r="H245" t="s">
        <v>17</v>
      </c>
      <c r="I245">
        <v>37569</v>
      </c>
      <c r="J245">
        <v>8</v>
      </c>
      <c r="K245" t="s">
        <v>29</v>
      </c>
      <c r="L245" t="s">
        <v>30</v>
      </c>
    </row>
    <row r="246" spans="1:12" x14ac:dyDescent="0.25">
      <c r="A246" t="s">
        <v>312</v>
      </c>
      <c r="B246" t="s">
        <v>92</v>
      </c>
      <c r="C246">
        <v>63</v>
      </c>
      <c r="D246" t="s">
        <v>25</v>
      </c>
      <c r="E246" t="s">
        <v>55</v>
      </c>
      <c r="F246" t="s">
        <v>56</v>
      </c>
      <c r="G246" s="1">
        <v>45680</v>
      </c>
      <c r="H246" t="s">
        <v>74</v>
      </c>
      <c r="I246">
        <v>42555</v>
      </c>
      <c r="J246">
        <v>7</v>
      </c>
      <c r="K246" t="s">
        <v>29</v>
      </c>
      <c r="L246" t="s">
        <v>19</v>
      </c>
    </row>
    <row r="247" spans="1:12" x14ac:dyDescent="0.25">
      <c r="A247" t="s">
        <v>313</v>
      </c>
      <c r="B247" t="s">
        <v>82</v>
      </c>
      <c r="C247">
        <v>36</v>
      </c>
      <c r="D247" t="s">
        <v>25</v>
      </c>
      <c r="E247" t="s">
        <v>15</v>
      </c>
      <c r="F247" t="s">
        <v>16</v>
      </c>
      <c r="G247" s="1">
        <v>45676</v>
      </c>
      <c r="H247" t="s">
        <v>65</v>
      </c>
      <c r="I247">
        <v>118409</v>
      </c>
      <c r="J247">
        <v>6</v>
      </c>
      <c r="K247" t="s">
        <v>29</v>
      </c>
      <c r="L247" t="s">
        <v>30</v>
      </c>
    </row>
    <row r="248" spans="1:12" x14ac:dyDescent="0.25">
      <c r="A248" t="s">
        <v>314</v>
      </c>
      <c r="B248" t="s">
        <v>54</v>
      </c>
      <c r="C248">
        <v>36</v>
      </c>
      <c r="D248" t="s">
        <v>25</v>
      </c>
      <c r="E248" t="s">
        <v>55</v>
      </c>
      <c r="F248" t="s">
        <v>56</v>
      </c>
      <c r="G248" s="1">
        <v>45669</v>
      </c>
      <c r="H248" t="s">
        <v>52</v>
      </c>
      <c r="I248">
        <v>86979</v>
      </c>
      <c r="J248">
        <v>4</v>
      </c>
      <c r="K248" t="s">
        <v>29</v>
      </c>
      <c r="L248" t="s">
        <v>30</v>
      </c>
    </row>
    <row r="249" spans="1:12" x14ac:dyDescent="0.25">
      <c r="A249" t="s">
        <v>315</v>
      </c>
      <c r="B249" t="s">
        <v>21</v>
      </c>
      <c r="C249">
        <v>35</v>
      </c>
      <c r="D249" t="s">
        <v>14</v>
      </c>
      <c r="E249" t="s">
        <v>33</v>
      </c>
      <c r="F249" t="s">
        <v>34</v>
      </c>
      <c r="G249" s="1">
        <v>45662</v>
      </c>
      <c r="H249" t="s">
        <v>102</v>
      </c>
      <c r="I249">
        <v>81698</v>
      </c>
      <c r="J249">
        <v>11</v>
      </c>
      <c r="K249" t="s">
        <v>18</v>
      </c>
      <c r="L249" t="s">
        <v>30</v>
      </c>
    </row>
    <row r="250" spans="1:12" x14ac:dyDescent="0.25">
      <c r="A250" t="s">
        <v>316</v>
      </c>
      <c r="B250" t="s">
        <v>101</v>
      </c>
      <c r="C250">
        <v>32</v>
      </c>
      <c r="D250" t="s">
        <v>25</v>
      </c>
      <c r="E250" t="s">
        <v>42</v>
      </c>
      <c r="F250" t="s">
        <v>43</v>
      </c>
      <c r="G250" s="1">
        <v>45659</v>
      </c>
      <c r="H250" t="s">
        <v>102</v>
      </c>
      <c r="I250">
        <v>55172</v>
      </c>
      <c r="J250">
        <v>5</v>
      </c>
      <c r="K250" t="s">
        <v>29</v>
      </c>
      <c r="L250" t="s">
        <v>30</v>
      </c>
    </row>
    <row r="251" spans="1:12" x14ac:dyDescent="0.25">
      <c r="A251" t="s">
        <v>317</v>
      </c>
      <c r="B251" t="s">
        <v>62</v>
      </c>
      <c r="C251">
        <v>18</v>
      </c>
      <c r="D251" t="s">
        <v>25</v>
      </c>
      <c r="E251" t="s">
        <v>15</v>
      </c>
      <c r="F251" t="s">
        <v>16</v>
      </c>
      <c r="G251" s="1">
        <v>45671</v>
      </c>
      <c r="H251" t="s">
        <v>74</v>
      </c>
      <c r="I251">
        <v>63580</v>
      </c>
      <c r="J251">
        <v>10</v>
      </c>
      <c r="K251" t="s">
        <v>18</v>
      </c>
      <c r="L251" t="s">
        <v>47</v>
      </c>
    </row>
    <row r="252" spans="1:12" x14ac:dyDescent="0.25">
      <c r="A252" t="s">
        <v>318</v>
      </c>
      <c r="B252" t="s">
        <v>92</v>
      </c>
      <c r="C252">
        <v>59</v>
      </c>
      <c r="D252" t="s">
        <v>25</v>
      </c>
      <c r="E252" t="s">
        <v>55</v>
      </c>
      <c r="F252" t="s">
        <v>56</v>
      </c>
      <c r="G252" s="1">
        <v>45687</v>
      </c>
      <c r="H252" t="s">
        <v>107</v>
      </c>
      <c r="I252">
        <v>86498</v>
      </c>
      <c r="J252">
        <v>9</v>
      </c>
      <c r="K252" t="s">
        <v>18</v>
      </c>
      <c r="L252" t="s">
        <v>19</v>
      </c>
    </row>
    <row r="253" spans="1:12" x14ac:dyDescent="0.25">
      <c r="A253" t="s">
        <v>319</v>
      </c>
      <c r="B253" t="s">
        <v>54</v>
      </c>
      <c r="C253">
        <v>76</v>
      </c>
      <c r="D253" t="s">
        <v>25</v>
      </c>
      <c r="E253" t="s">
        <v>15</v>
      </c>
      <c r="F253" t="s">
        <v>16</v>
      </c>
      <c r="G253" s="1">
        <v>45671</v>
      </c>
      <c r="H253" t="s">
        <v>68</v>
      </c>
      <c r="I253">
        <v>5763</v>
      </c>
      <c r="J253">
        <v>6</v>
      </c>
      <c r="K253" t="s">
        <v>29</v>
      </c>
      <c r="L253" t="s">
        <v>30</v>
      </c>
    </row>
    <row r="254" spans="1:12" x14ac:dyDescent="0.25">
      <c r="A254" t="s">
        <v>320</v>
      </c>
      <c r="B254" t="s">
        <v>92</v>
      </c>
      <c r="C254">
        <v>74</v>
      </c>
      <c r="D254" t="s">
        <v>25</v>
      </c>
      <c r="E254" t="s">
        <v>15</v>
      </c>
      <c r="F254" t="s">
        <v>16</v>
      </c>
      <c r="G254" s="1">
        <v>45658</v>
      </c>
      <c r="H254" t="s">
        <v>119</v>
      </c>
      <c r="I254">
        <v>75443</v>
      </c>
      <c r="J254">
        <v>9</v>
      </c>
      <c r="K254" t="s">
        <v>18</v>
      </c>
      <c r="L254" t="s">
        <v>47</v>
      </c>
    </row>
    <row r="255" spans="1:12" x14ac:dyDescent="0.25">
      <c r="A255" t="s">
        <v>321</v>
      </c>
      <c r="B255" t="s">
        <v>88</v>
      </c>
      <c r="C255">
        <v>59</v>
      </c>
      <c r="D255" t="s">
        <v>14</v>
      </c>
      <c r="E255" t="s">
        <v>55</v>
      </c>
      <c r="F255" t="s">
        <v>56</v>
      </c>
      <c r="G255" s="1">
        <v>45686</v>
      </c>
      <c r="H255" t="s">
        <v>83</v>
      </c>
      <c r="I255">
        <v>112550</v>
      </c>
      <c r="J255">
        <v>8</v>
      </c>
      <c r="K255" t="s">
        <v>29</v>
      </c>
      <c r="L255" t="s">
        <v>47</v>
      </c>
    </row>
    <row r="256" spans="1:12" x14ac:dyDescent="0.25">
      <c r="A256" t="s">
        <v>322</v>
      </c>
      <c r="B256" t="s">
        <v>13</v>
      </c>
      <c r="C256">
        <v>39</v>
      </c>
      <c r="D256" t="s">
        <v>25</v>
      </c>
      <c r="E256" t="s">
        <v>33</v>
      </c>
      <c r="F256" t="s">
        <v>34</v>
      </c>
      <c r="G256" s="1">
        <v>45681</v>
      </c>
      <c r="H256" t="s">
        <v>52</v>
      </c>
      <c r="I256">
        <v>85972</v>
      </c>
      <c r="J256">
        <v>4</v>
      </c>
      <c r="K256" t="s">
        <v>18</v>
      </c>
      <c r="L256" t="s">
        <v>30</v>
      </c>
    </row>
    <row r="257" spans="1:12" x14ac:dyDescent="0.25">
      <c r="A257" t="s">
        <v>323</v>
      </c>
      <c r="B257" t="s">
        <v>59</v>
      </c>
      <c r="C257">
        <v>68</v>
      </c>
      <c r="D257" t="s">
        <v>14</v>
      </c>
      <c r="E257" t="s">
        <v>15</v>
      </c>
      <c r="F257" t="s">
        <v>16</v>
      </c>
      <c r="G257" s="1">
        <v>45676</v>
      </c>
      <c r="H257" t="s">
        <v>35</v>
      </c>
      <c r="I257">
        <v>24002</v>
      </c>
      <c r="J257">
        <v>9</v>
      </c>
      <c r="K257" t="s">
        <v>29</v>
      </c>
      <c r="L257" t="s">
        <v>47</v>
      </c>
    </row>
    <row r="258" spans="1:12" x14ac:dyDescent="0.25">
      <c r="A258" t="s">
        <v>324</v>
      </c>
      <c r="B258" t="s">
        <v>59</v>
      </c>
      <c r="C258">
        <v>23</v>
      </c>
      <c r="D258" t="s">
        <v>14</v>
      </c>
      <c r="E258" t="s">
        <v>26</v>
      </c>
      <c r="F258" t="s">
        <v>27</v>
      </c>
      <c r="G258" s="1">
        <v>45679</v>
      </c>
      <c r="H258" t="s">
        <v>102</v>
      </c>
      <c r="I258">
        <v>25219</v>
      </c>
      <c r="J258">
        <v>2</v>
      </c>
      <c r="K258" t="s">
        <v>29</v>
      </c>
      <c r="L258" t="s">
        <v>47</v>
      </c>
    </row>
    <row r="259" spans="1:12" x14ac:dyDescent="0.25">
      <c r="A259" t="s">
        <v>325</v>
      </c>
      <c r="B259" t="s">
        <v>24</v>
      </c>
      <c r="C259">
        <v>34</v>
      </c>
      <c r="D259" t="s">
        <v>14</v>
      </c>
      <c r="E259" t="s">
        <v>33</v>
      </c>
      <c r="F259" t="s">
        <v>34</v>
      </c>
      <c r="G259" s="1">
        <v>45665</v>
      </c>
      <c r="H259" t="s">
        <v>52</v>
      </c>
      <c r="I259">
        <v>99796</v>
      </c>
      <c r="J259">
        <v>4</v>
      </c>
      <c r="K259" t="s">
        <v>29</v>
      </c>
      <c r="L259" t="s">
        <v>47</v>
      </c>
    </row>
    <row r="260" spans="1:12" x14ac:dyDescent="0.25">
      <c r="A260" t="s">
        <v>326</v>
      </c>
      <c r="B260" t="s">
        <v>98</v>
      </c>
      <c r="C260">
        <v>18</v>
      </c>
      <c r="D260" t="s">
        <v>14</v>
      </c>
      <c r="E260" t="s">
        <v>26</v>
      </c>
      <c r="F260" t="s">
        <v>27</v>
      </c>
      <c r="G260" s="1">
        <v>45678</v>
      </c>
      <c r="H260" t="s">
        <v>44</v>
      </c>
      <c r="I260">
        <v>91802</v>
      </c>
      <c r="J260">
        <v>3</v>
      </c>
      <c r="K260" t="s">
        <v>18</v>
      </c>
      <c r="L260" t="s">
        <v>19</v>
      </c>
    </row>
    <row r="261" spans="1:12" x14ac:dyDescent="0.25">
      <c r="A261" t="s">
        <v>327</v>
      </c>
      <c r="B261" t="s">
        <v>88</v>
      </c>
      <c r="C261">
        <v>37</v>
      </c>
      <c r="D261" t="s">
        <v>25</v>
      </c>
      <c r="E261" t="s">
        <v>42</v>
      </c>
      <c r="F261" t="s">
        <v>43</v>
      </c>
      <c r="G261" s="1">
        <v>45670</v>
      </c>
      <c r="H261" t="s">
        <v>76</v>
      </c>
      <c r="I261">
        <v>118324</v>
      </c>
      <c r="J261">
        <v>11</v>
      </c>
      <c r="K261" t="s">
        <v>29</v>
      </c>
      <c r="L261" t="s">
        <v>19</v>
      </c>
    </row>
    <row r="262" spans="1:12" x14ac:dyDescent="0.25">
      <c r="A262" t="s">
        <v>328</v>
      </c>
      <c r="B262" t="s">
        <v>92</v>
      </c>
      <c r="C262">
        <v>41</v>
      </c>
      <c r="D262" t="s">
        <v>25</v>
      </c>
      <c r="E262" t="s">
        <v>42</v>
      </c>
      <c r="F262" t="s">
        <v>43</v>
      </c>
      <c r="G262" s="1">
        <v>45665</v>
      </c>
      <c r="H262" t="s">
        <v>83</v>
      </c>
      <c r="I262">
        <v>63676</v>
      </c>
      <c r="J262">
        <v>2</v>
      </c>
      <c r="K262" t="s">
        <v>29</v>
      </c>
      <c r="L262" t="s">
        <v>19</v>
      </c>
    </row>
    <row r="263" spans="1:12" x14ac:dyDescent="0.25">
      <c r="A263" t="s">
        <v>329</v>
      </c>
      <c r="B263" t="s">
        <v>49</v>
      </c>
      <c r="C263">
        <v>44</v>
      </c>
      <c r="D263" t="s">
        <v>14</v>
      </c>
      <c r="E263" t="s">
        <v>26</v>
      </c>
      <c r="F263" t="s">
        <v>27</v>
      </c>
      <c r="G263" s="1">
        <v>45682</v>
      </c>
      <c r="H263" t="s">
        <v>35</v>
      </c>
      <c r="I263">
        <v>100858</v>
      </c>
      <c r="J263">
        <v>3</v>
      </c>
      <c r="K263" t="s">
        <v>18</v>
      </c>
      <c r="L263" t="s">
        <v>19</v>
      </c>
    </row>
    <row r="264" spans="1:12" x14ac:dyDescent="0.25">
      <c r="A264" t="s">
        <v>330</v>
      </c>
      <c r="B264" t="s">
        <v>101</v>
      </c>
      <c r="C264">
        <v>63</v>
      </c>
      <c r="D264" t="s">
        <v>14</v>
      </c>
      <c r="E264" t="s">
        <v>37</v>
      </c>
      <c r="F264" t="s">
        <v>38</v>
      </c>
      <c r="G264" s="1">
        <v>45660</v>
      </c>
      <c r="H264" t="s">
        <v>102</v>
      </c>
      <c r="I264">
        <v>9094</v>
      </c>
      <c r="J264">
        <v>8</v>
      </c>
      <c r="K264" t="s">
        <v>18</v>
      </c>
      <c r="L264" t="s">
        <v>19</v>
      </c>
    </row>
    <row r="265" spans="1:12" x14ac:dyDescent="0.25">
      <c r="A265" t="s">
        <v>331</v>
      </c>
      <c r="B265" t="s">
        <v>62</v>
      </c>
      <c r="C265">
        <v>28</v>
      </c>
      <c r="D265" t="s">
        <v>14</v>
      </c>
      <c r="E265" t="s">
        <v>26</v>
      </c>
      <c r="F265" t="s">
        <v>27</v>
      </c>
      <c r="G265" s="1">
        <v>45685</v>
      </c>
      <c r="H265" t="s">
        <v>76</v>
      </c>
      <c r="I265">
        <v>58912</v>
      </c>
      <c r="J265">
        <v>1</v>
      </c>
      <c r="K265" t="s">
        <v>18</v>
      </c>
      <c r="L265" t="s">
        <v>19</v>
      </c>
    </row>
    <row r="266" spans="1:12" x14ac:dyDescent="0.25">
      <c r="A266" t="s">
        <v>332</v>
      </c>
      <c r="B266" t="s">
        <v>72</v>
      </c>
      <c r="C266">
        <v>23</v>
      </c>
      <c r="D266" t="s">
        <v>14</v>
      </c>
      <c r="E266" t="s">
        <v>26</v>
      </c>
      <c r="F266" t="s">
        <v>27</v>
      </c>
      <c r="G266" s="1">
        <v>45683</v>
      </c>
      <c r="H266" t="s">
        <v>63</v>
      </c>
      <c r="I266">
        <v>60432</v>
      </c>
      <c r="J266">
        <v>2</v>
      </c>
      <c r="K266" t="s">
        <v>29</v>
      </c>
      <c r="L266" t="s">
        <v>47</v>
      </c>
    </row>
    <row r="267" spans="1:12" x14ac:dyDescent="0.25">
      <c r="A267" t="s">
        <v>333</v>
      </c>
      <c r="B267" t="s">
        <v>54</v>
      </c>
      <c r="C267">
        <v>53</v>
      </c>
      <c r="D267" t="s">
        <v>14</v>
      </c>
      <c r="E267" t="s">
        <v>26</v>
      </c>
      <c r="F267" t="s">
        <v>27</v>
      </c>
      <c r="G267" s="1">
        <v>45679</v>
      </c>
      <c r="H267" t="s">
        <v>119</v>
      </c>
      <c r="I267">
        <v>95801</v>
      </c>
      <c r="J267">
        <v>0</v>
      </c>
      <c r="K267" t="s">
        <v>29</v>
      </c>
      <c r="L267" t="s">
        <v>47</v>
      </c>
    </row>
    <row r="268" spans="1:12" x14ac:dyDescent="0.25">
      <c r="A268" t="s">
        <v>334</v>
      </c>
      <c r="B268" t="s">
        <v>78</v>
      </c>
      <c r="C268">
        <v>55</v>
      </c>
      <c r="D268" t="s">
        <v>25</v>
      </c>
      <c r="E268" t="s">
        <v>42</v>
      </c>
      <c r="F268" t="s">
        <v>43</v>
      </c>
      <c r="G268" s="1">
        <v>45659</v>
      </c>
      <c r="H268" t="s">
        <v>28</v>
      </c>
      <c r="I268">
        <v>46158</v>
      </c>
      <c r="J268">
        <v>11</v>
      </c>
      <c r="K268" t="s">
        <v>18</v>
      </c>
      <c r="L268" t="s">
        <v>19</v>
      </c>
    </row>
    <row r="269" spans="1:12" x14ac:dyDescent="0.25">
      <c r="A269" t="s">
        <v>335</v>
      </c>
      <c r="B269" t="s">
        <v>131</v>
      </c>
      <c r="C269">
        <v>77</v>
      </c>
      <c r="D269" t="s">
        <v>14</v>
      </c>
      <c r="E269" t="s">
        <v>42</v>
      </c>
      <c r="F269" t="s">
        <v>43</v>
      </c>
      <c r="G269" s="1">
        <v>45659</v>
      </c>
      <c r="H269" t="s">
        <v>119</v>
      </c>
      <c r="I269">
        <v>54591</v>
      </c>
      <c r="J269">
        <v>2</v>
      </c>
      <c r="K269" t="s">
        <v>18</v>
      </c>
      <c r="L269" t="s">
        <v>19</v>
      </c>
    </row>
    <row r="270" spans="1:12" x14ac:dyDescent="0.25">
      <c r="A270" t="s">
        <v>336</v>
      </c>
      <c r="B270" t="s">
        <v>32</v>
      </c>
      <c r="C270">
        <v>41</v>
      </c>
      <c r="D270" t="s">
        <v>14</v>
      </c>
      <c r="E270" t="s">
        <v>15</v>
      </c>
      <c r="F270" t="s">
        <v>16</v>
      </c>
      <c r="G270" s="1">
        <v>45672</v>
      </c>
      <c r="H270" t="s">
        <v>65</v>
      </c>
      <c r="I270">
        <v>50236</v>
      </c>
      <c r="J270">
        <v>1</v>
      </c>
      <c r="K270" t="s">
        <v>18</v>
      </c>
      <c r="L270" t="s">
        <v>19</v>
      </c>
    </row>
    <row r="271" spans="1:12" x14ac:dyDescent="0.25">
      <c r="A271" t="s">
        <v>337</v>
      </c>
      <c r="B271" t="s">
        <v>13</v>
      </c>
      <c r="C271">
        <v>29</v>
      </c>
      <c r="D271" t="s">
        <v>14</v>
      </c>
      <c r="E271" t="s">
        <v>55</v>
      </c>
      <c r="F271" t="s">
        <v>56</v>
      </c>
      <c r="G271" s="1">
        <v>45674</v>
      </c>
      <c r="H271" t="s">
        <v>83</v>
      </c>
      <c r="I271">
        <v>96401</v>
      </c>
      <c r="J271">
        <v>3</v>
      </c>
      <c r="K271" t="s">
        <v>18</v>
      </c>
      <c r="L271" t="s">
        <v>30</v>
      </c>
    </row>
    <row r="272" spans="1:12" x14ac:dyDescent="0.25">
      <c r="A272" t="s">
        <v>338</v>
      </c>
      <c r="B272" t="s">
        <v>88</v>
      </c>
      <c r="C272">
        <v>61</v>
      </c>
      <c r="D272" t="s">
        <v>14</v>
      </c>
      <c r="E272" t="s">
        <v>55</v>
      </c>
      <c r="F272" t="s">
        <v>56</v>
      </c>
      <c r="G272" s="1">
        <v>45675</v>
      </c>
      <c r="H272" t="s">
        <v>65</v>
      </c>
      <c r="I272">
        <v>108919</v>
      </c>
      <c r="J272">
        <v>3</v>
      </c>
      <c r="K272" t="s">
        <v>18</v>
      </c>
      <c r="L272" t="s">
        <v>47</v>
      </c>
    </row>
    <row r="273" spans="1:12" x14ac:dyDescent="0.25">
      <c r="A273" t="s">
        <v>339</v>
      </c>
      <c r="B273" t="s">
        <v>62</v>
      </c>
      <c r="C273">
        <v>35</v>
      </c>
      <c r="D273" t="s">
        <v>25</v>
      </c>
      <c r="E273" t="s">
        <v>55</v>
      </c>
      <c r="F273" t="s">
        <v>56</v>
      </c>
      <c r="G273" s="1">
        <v>45687</v>
      </c>
      <c r="H273" t="s">
        <v>102</v>
      </c>
      <c r="I273">
        <v>5222</v>
      </c>
      <c r="J273">
        <v>12</v>
      </c>
      <c r="K273" t="s">
        <v>29</v>
      </c>
      <c r="L273" t="s">
        <v>19</v>
      </c>
    </row>
    <row r="274" spans="1:12" x14ac:dyDescent="0.25">
      <c r="A274" t="s">
        <v>340</v>
      </c>
      <c r="B274" t="s">
        <v>46</v>
      </c>
      <c r="C274">
        <v>31</v>
      </c>
      <c r="D274" t="s">
        <v>25</v>
      </c>
      <c r="E274" t="s">
        <v>42</v>
      </c>
      <c r="F274" t="s">
        <v>43</v>
      </c>
      <c r="G274" s="1">
        <v>45661</v>
      </c>
      <c r="H274" t="s">
        <v>63</v>
      </c>
      <c r="I274">
        <v>59515</v>
      </c>
      <c r="J274">
        <v>9</v>
      </c>
      <c r="K274" t="s">
        <v>18</v>
      </c>
      <c r="L274" t="s">
        <v>30</v>
      </c>
    </row>
    <row r="275" spans="1:12" x14ac:dyDescent="0.25">
      <c r="A275" t="s">
        <v>341</v>
      </c>
      <c r="B275" t="s">
        <v>54</v>
      </c>
      <c r="C275">
        <v>43</v>
      </c>
      <c r="D275" t="s">
        <v>14</v>
      </c>
      <c r="E275" t="s">
        <v>15</v>
      </c>
      <c r="F275" t="s">
        <v>16</v>
      </c>
      <c r="G275" s="1">
        <v>45665</v>
      </c>
      <c r="H275" t="s">
        <v>35</v>
      </c>
      <c r="I275">
        <v>99878</v>
      </c>
      <c r="J275">
        <v>12</v>
      </c>
      <c r="K275" t="s">
        <v>18</v>
      </c>
      <c r="L275" t="s">
        <v>30</v>
      </c>
    </row>
    <row r="276" spans="1:12" x14ac:dyDescent="0.25">
      <c r="A276" t="s">
        <v>342</v>
      </c>
      <c r="B276" t="s">
        <v>92</v>
      </c>
      <c r="C276">
        <v>32</v>
      </c>
      <c r="D276" t="s">
        <v>14</v>
      </c>
      <c r="E276" t="s">
        <v>26</v>
      </c>
      <c r="F276" t="s">
        <v>27</v>
      </c>
      <c r="G276" s="1">
        <v>45676</v>
      </c>
      <c r="H276" t="s">
        <v>57</v>
      </c>
      <c r="I276">
        <v>32051</v>
      </c>
      <c r="J276">
        <v>4</v>
      </c>
      <c r="K276" t="s">
        <v>18</v>
      </c>
      <c r="L276" t="s">
        <v>19</v>
      </c>
    </row>
    <row r="277" spans="1:12" x14ac:dyDescent="0.25">
      <c r="A277" t="s">
        <v>343</v>
      </c>
      <c r="B277" t="s">
        <v>46</v>
      </c>
      <c r="C277">
        <v>44</v>
      </c>
      <c r="D277" t="s">
        <v>14</v>
      </c>
      <c r="E277" t="s">
        <v>26</v>
      </c>
      <c r="F277" t="s">
        <v>27</v>
      </c>
      <c r="G277" s="1">
        <v>45666</v>
      </c>
      <c r="H277" t="s">
        <v>63</v>
      </c>
      <c r="I277">
        <v>73970</v>
      </c>
      <c r="J277">
        <v>9</v>
      </c>
      <c r="K277" t="s">
        <v>18</v>
      </c>
      <c r="L277" t="s">
        <v>19</v>
      </c>
    </row>
    <row r="278" spans="1:12" x14ac:dyDescent="0.25">
      <c r="A278" t="s">
        <v>344</v>
      </c>
      <c r="B278" t="s">
        <v>32</v>
      </c>
      <c r="C278">
        <v>53</v>
      </c>
      <c r="D278" t="s">
        <v>14</v>
      </c>
      <c r="E278" t="s">
        <v>15</v>
      </c>
      <c r="F278" t="s">
        <v>16</v>
      </c>
      <c r="G278" s="1">
        <v>45659</v>
      </c>
      <c r="H278" t="s">
        <v>44</v>
      </c>
      <c r="I278">
        <v>85320</v>
      </c>
      <c r="J278">
        <v>10</v>
      </c>
      <c r="K278" t="s">
        <v>29</v>
      </c>
      <c r="L278" t="s">
        <v>19</v>
      </c>
    </row>
    <row r="279" spans="1:12" x14ac:dyDescent="0.25">
      <c r="A279" t="s">
        <v>345</v>
      </c>
      <c r="B279" t="s">
        <v>32</v>
      </c>
      <c r="C279">
        <v>44</v>
      </c>
      <c r="D279" t="s">
        <v>25</v>
      </c>
      <c r="E279" t="s">
        <v>55</v>
      </c>
      <c r="F279" t="s">
        <v>56</v>
      </c>
      <c r="G279" s="1">
        <v>45667</v>
      </c>
      <c r="H279" t="s">
        <v>65</v>
      </c>
      <c r="I279">
        <v>25101</v>
      </c>
      <c r="J279">
        <v>12</v>
      </c>
      <c r="K279" t="s">
        <v>29</v>
      </c>
      <c r="L279" t="s">
        <v>30</v>
      </c>
    </row>
    <row r="280" spans="1:12" x14ac:dyDescent="0.25">
      <c r="A280" t="s">
        <v>346</v>
      </c>
      <c r="B280" t="s">
        <v>92</v>
      </c>
      <c r="C280">
        <v>72</v>
      </c>
      <c r="D280" t="s">
        <v>25</v>
      </c>
      <c r="E280" t="s">
        <v>33</v>
      </c>
      <c r="F280" t="s">
        <v>34</v>
      </c>
      <c r="G280" s="1">
        <v>45683</v>
      </c>
      <c r="H280" t="s">
        <v>52</v>
      </c>
      <c r="I280">
        <v>8552</v>
      </c>
      <c r="J280">
        <v>8</v>
      </c>
      <c r="K280" t="s">
        <v>29</v>
      </c>
      <c r="L280" t="s">
        <v>47</v>
      </c>
    </row>
    <row r="281" spans="1:12" x14ac:dyDescent="0.25">
      <c r="A281" t="s">
        <v>347</v>
      </c>
      <c r="B281" t="s">
        <v>101</v>
      </c>
      <c r="C281">
        <v>26</v>
      </c>
      <c r="D281" t="s">
        <v>14</v>
      </c>
      <c r="E281" t="s">
        <v>26</v>
      </c>
      <c r="F281" t="s">
        <v>27</v>
      </c>
      <c r="G281" s="1">
        <v>45665</v>
      </c>
      <c r="H281" t="s">
        <v>39</v>
      </c>
      <c r="I281">
        <v>27651</v>
      </c>
      <c r="J281">
        <v>5</v>
      </c>
      <c r="K281" t="s">
        <v>18</v>
      </c>
      <c r="L281" t="s">
        <v>47</v>
      </c>
    </row>
    <row r="282" spans="1:12" x14ac:dyDescent="0.25">
      <c r="A282" t="s">
        <v>348</v>
      </c>
      <c r="B282" t="s">
        <v>131</v>
      </c>
      <c r="C282">
        <v>52</v>
      </c>
      <c r="D282" t="s">
        <v>25</v>
      </c>
      <c r="E282" t="s">
        <v>55</v>
      </c>
      <c r="F282" t="s">
        <v>56</v>
      </c>
      <c r="G282" s="1">
        <v>45659</v>
      </c>
      <c r="H282" t="s">
        <v>39</v>
      </c>
      <c r="I282">
        <v>50436</v>
      </c>
      <c r="J282">
        <v>10</v>
      </c>
      <c r="K282" t="s">
        <v>18</v>
      </c>
      <c r="L282" t="s">
        <v>30</v>
      </c>
    </row>
    <row r="283" spans="1:12" x14ac:dyDescent="0.25">
      <c r="A283" t="s">
        <v>349</v>
      </c>
      <c r="B283" t="s">
        <v>98</v>
      </c>
      <c r="C283">
        <v>64</v>
      </c>
      <c r="D283" t="s">
        <v>25</v>
      </c>
      <c r="E283" t="s">
        <v>33</v>
      </c>
      <c r="F283" t="s">
        <v>34</v>
      </c>
      <c r="G283" s="1">
        <v>45673</v>
      </c>
      <c r="H283" t="s">
        <v>35</v>
      </c>
      <c r="I283">
        <v>114963</v>
      </c>
      <c r="J283">
        <v>5</v>
      </c>
      <c r="K283" t="s">
        <v>29</v>
      </c>
      <c r="L283" t="s">
        <v>30</v>
      </c>
    </row>
    <row r="284" spans="1:12" x14ac:dyDescent="0.25">
      <c r="A284" t="s">
        <v>350</v>
      </c>
      <c r="B284" t="s">
        <v>78</v>
      </c>
      <c r="C284">
        <v>79</v>
      </c>
      <c r="D284" t="s">
        <v>25</v>
      </c>
      <c r="E284" t="s">
        <v>33</v>
      </c>
      <c r="F284" t="s">
        <v>34</v>
      </c>
      <c r="G284" s="1">
        <v>45681</v>
      </c>
      <c r="H284" t="s">
        <v>74</v>
      </c>
      <c r="I284">
        <v>32797</v>
      </c>
      <c r="J284">
        <v>11</v>
      </c>
      <c r="K284" t="s">
        <v>18</v>
      </c>
      <c r="L284" t="s">
        <v>47</v>
      </c>
    </row>
    <row r="285" spans="1:12" x14ac:dyDescent="0.25">
      <c r="A285" t="s">
        <v>351</v>
      </c>
      <c r="B285" t="s">
        <v>21</v>
      </c>
      <c r="C285">
        <v>38</v>
      </c>
      <c r="D285" t="s">
        <v>14</v>
      </c>
      <c r="E285" t="s">
        <v>33</v>
      </c>
      <c r="F285" t="s">
        <v>34</v>
      </c>
      <c r="G285" s="1">
        <v>45670</v>
      </c>
      <c r="H285" t="s">
        <v>52</v>
      </c>
      <c r="I285">
        <v>70946</v>
      </c>
      <c r="J285">
        <v>10</v>
      </c>
      <c r="K285" t="s">
        <v>29</v>
      </c>
      <c r="L285" t="s">
        <v>47</v>
      </c>
    </row>
    <row r="286" spans="1:12" x14ac:dyDescent="0.25">
      <c r="A286" t="s">
        <v>352</v>
      </c>
      <c r="B286" t="s">
        <v>49</v>
      </c>
      <c r="C286">
        <v>50</v>
      </c>
      <c r="D286" t="s">
        <v>14</v>
      </c>
      <c r="E286" t="s">
        <v>55</v>
      </c>
      <c r="F286" t="s">
        <v>56</v>
      </c>
      <c r="G286" s="1">
        <v>45672</v>
      </c>
      <c r="H286" t="s">
        <v>102</v>
      </c>
      <c r="I286">
        <v>106226</v>
      </c>
      <c r="J286">
        <v>11</v>
      </c>
      <c r="K286" t="s">
        <v>29</v>
      </c>
      <c r="L286" t="s">
        <v>47</v>
      </c>
    </row>
    <row r="287" spans="1:12" x14ac:dyDescent="0.25">
      <c r="A287" t="s">
        <v>353</v>
      </c>
      <c r="B287" t="s">
        <v>49</v>
      </c>
      <c r="C287">
        <v>38</v>
      </c>
      <c r="D287" t="s">
        <v>14</v>
      </c>
      <c r="E287" t="s">
        <v>33</v>
      </c>
      <c r="F287" t="s">
        <v>34</v>
      </c>
      <c r="G287" s="1">
        <v>45659</v>
      </c>
      <c r="H287" t="s">
        <v>17</v>
      </c>
      <c r="I287">
        <v>98157</v>
      </c>
      <c r="J287">
        <v>2</v>
      </c>
      <c r="K287" t="s">
        <v>18</v>
      </c>
      <c r="L287" t="s">
        <v>47</v>
      </c>
    </row>
    <row r="288" spans="1:12" x14ac:dyDescent="0.25">
      <c r="A288" t="s">
        <v>354</v>
      </c>
      <c r="B288" t="s">
        <v>98</v>
      </c>
      <c r="C288">
        <v>55</v>
      </c>
      <c r="D288" t="s">
        <v>14</v>
      </c>
      <c r="E288" t="s">
        <v>26</v>
      </c>
      <c r="F288" t="s">
        <v>27</v>
      </c>
      <c r="G288" s="1">
        <v>45667</v>
      </c>
      <c r="H288" t="s">
        <v>83</v>
      </c>
      <c r="I288">
        <v>26715</v>
      </c>
      <c r="J288">
        <v>5</v>
      </c>
      <c r="K288" t="s">
        <v>18</v>
      </c>
      <c r="L288" t="s">
        <v>47</v>
      </c>
    </row>
    <row r="289" spans="1:12" x14ac:dyDescent="0.25">
      <c r="A289" t="s">
        <v>355</v>
      </c>
      <c r="B289" t="s">
        <v>46</v>
      </c>
      <c r="C289">
        <v>49</v>
      </c>
      <c r="D289" t="s">
        <v>14</v>
      </c>
      <c r="E289" t="s">
        <v>26</v>
      </c>
      <c r="F289" t="s">
        <v>27</v>
      </c>
      <c r="G289" s="1">
        <v>45666</v>
      </c>
      <c r="H289" t="s">
        <v>74</v>
      </c>
      <c r="I289">
        <v>95838</v>
      </c>
      <c r="J289">
        <v>10</v>
      </c>
      <c r="K289" t="s">
        <v>29</v>
      </c>
      <c r="L289" t="s">
        <v>47</v>
      </c>
    </row>
    <row r="290" spans="1:12" x14ac:dyDescent="0.25">
      <c r="A290" t="s">
        <v>356</v>
      </c>
      <c r="B290" t="s">
        <v>49</v>
      </c>
      <c r="C290">
        <v>28</v>
      </c>
      <c r="D290" t="s">
        <v>25</v>
      </c>
      <c r="E290" t="s">
        <v>33</v>
      </c>
      <c r="F290" t="s">
        <v>34</v>
      </c>
      <c r="G290" s="1">
        <v>45681</v>
      </c>
      <c r="H290" t="s">
        <v>74</v>
      </c>
      <c r="I290">
        <v>25123</v>
      </c>
      <c r="J290">
        <v>8</v>
      </c>
      <c r="K290" t="s">
        <v>18</v>
      </c>
      <c r="L290" t="s">
        <v>19</v>
      </c>
    </row>
    <row r="291" spans="1:12" x14ac:dyDescent="0.25">
      <c r="A291" t="s">
        <v>357</v>
      </c>
      <c r="B291" t="s">
        <v>131</v>
      </c>
      <c r="C291">
        <v>78</v>
      </c>
      <c r="D291" t="s">
        <v>25</v>
      </c>
      <c r="E291" t="s">
        <v>42</v>
      </c>
      <c r="F291" t="s">
        <v>43</v>
      </c>
      <c r="G291" s="1">
        <v>45682</v>
      </c>
      <c r="H291" t="s">
        <v>22</v>
      </c>
      <c r="I291">
        <v>55053</v>
      </c>
      <c r="J291">
        <v>2</v>
      </c>
      <c r="K291" t="s">
        <v>18</v>
      </c>
      <c r="L291" t="s">
        <v>30</v>
      </c>
    </row>
    <row r="292" spans="1:12" x14ac:dyDescent="0.25">
      <c r="A292" t="s">
        <v>358</v>
      </c>
      <c r="B292" t="s">
        <v>62</v>
      </c>
      <c r="C292">
        <v>18</v>
      </c>
      <c r="D292" t="s">
        <v>25</v>
      </c>
      <c r="E292" t="s">
        <v>15</v>
      </c>
      <c r="F292" t="s">
        <v>16</v>
      </c>
      <c r="G292" s="1">
        <v>45674</v>
      </c>
      <c r="H292" t="s">
        <v>52</v>
      </c>
      <c r="I292">
        <v>49916</v>
      </c>
      <c r="J292">
        <v>0</v>
      </c>
      <c r="K292" t="s">
        <v>29</v>
      </c>
      <c r="L292" t="s">
        <v>19</v>
      </c>
    </row>
    <row r="293" spans="1:12" x14ac:dyDescent="0.25">
      <c r="A293" t="s">
        <v>359</v>
      </c>
      <c r="B293" t="s">
        <v>24</v>
      </c>
      <c r="C293">
        <v>18</v>
      </c>
      <c r="D293" t="s">
        <v>14</v>
      </c>
      <c r="E293" t="s">
        <v>37</v>
      </c>
      <c r="F293" t="s">
        <v>38</v>
      </c>
      <c r="G293" s="1">
        <v>45658</v>
      </c>
      <c r="H293" t="s">
        <v>22</v>
      </c>
      <c r="I293">
        <v>70391</v>
      </c>
      <c r="J293">
        <v>11</v>
      </c>
      <c r="K293" t="s">
        <v>29</v>
      </c>
      <c r="L293" t="s">
        <v>19</v>
      </c>
    </row>
    <row r="294" spans="1:12" x14ac:dyDescent="0.25">
      <c r="A294" t="s">
        <v>360</v>
      </c>
      <c r="B294" t="s">
        <v>24</v>
      </c>
      <c r="C294">
        <v>50</v>
      </c>
      <c r="D294" t="s">
        <v>14</v>
      </c>
      <c r="E294" t="s">
        <v>55</v>
      </c>
      <c r="F294" t="s">
        <v>56</v>
      </c>
      <c r="G294" s="1">
        <v>45683</v>
      </c>
      <c r="H294" t="s">
        <v>68</v>
      </c>
      <c r="I294">
        <v>15026</v>
      </c>
      <c r="J294">
        <v>1</v>
      </c>
      <c r="K294" t="s">
        <v>18</v>
      </c>
      <c r="L294" t="s">
        <v>30</v>
      </c>
    </row>
    <row r="295" spans="1:12" x14ac:dyDescent="0.25">
      <c r="A295" t="s">
        <v>361</v>
      </c>
      <c r="B295" t="s">
        <v>70</v>
      </c>
      <c r="C295">
        <v>51</v>
      </c>
      <c r="D295" t="s">
        <v>14</v>
      </c>
      <c r="E295" t="s">
        <v>33</v>
      </c>
      <c r="F295" t="s">
        <v>34</v>
      </c>
      <c r="G295" s="1">
        <v>45684</v>
      </c>
      <c r="H295" t="s">
        <v>44</v>
      </c>
      <c r="I295">
        <v>36038</v>
      </c>
      <c r="J295">
        <v>12</v>
      </c>
      <c r="K295" t="s">
        <v>29</v>
      </c>
      <c r="L295" t="s">
        <v>30</v>
      </c>
    </row>
    <row r="296" spans="1:12" x14ac:dyDescent="0.25">
      <c r="A296" t="s">
        <v>362</v>
      </c>
      <c r="B296" t="s">
        <v>41</v>
      </c>
      <c r="C296">
        <v>47</v>
      </c>
      <c r="D296" t="s">
        <v>25</v>
      </c>
      <c r="E296" t="s">
        <v>55</v>
      </c>
      <c r="F296" t="s">
        <v>56</v>
      </c>
      <c r="G296" s="1">
        <v>45680</v>
      </c>
      <c r="H296" t="s">
        <v>17</v>
      </c>
      <c r="I296">
        <v>40318</v>
      </c>
      <c r="J296">
        <v>10</v>
      </c>
      <c r="K296" t="s">
        <v>18</v>
      </c>
      <c r="L296" t="s">
        <v>19</v>
      </c>
    </row>
    <row r="297" spans="1:12" x14ac:dyDescent="0.25">
      <c r="A297" t="s">
        <v>363</v>
      </c>
      <c r="B297" t="s">
        <v>54</v>
      </c>
      <c r="C297">
        <v>23</v>
      </c>
      <c r="D297" t="s">
        <v>14</v>
      </c>
      <c r="E297" t="s">
        <v>15</v>
      </c>
      <c r="F297" t="s">
        <v>16</v>
      </c>
      <c r="G297" s="1">
        <v>45670</v>
      </c>
      <c r="H297" t="s">
        <v>65</v>
      </c>
      <c r="I297">
        <v>73443</v>
      </c>
      <c r="J297">
        <v>7</v>
      </c>
      <c r="K297" t="s">
        <v>18</v>
      </c>
      <c r="L297" t="s">
        <v>19</v>
      </c>
    </row>
    <row r="298" spans="1:12" x14ac:dyDescent="0.25">
      <c r="A298" t="s">
        <v>364</v>
      </c>
      <c r="B298" t="s">
        <v>51</v>
      </c>
      <c r="C298">
        <v>23</v>
      </c>
      <c r="D298" t="s">
        <v>14</v>
      </c>
      <c r="E298" t="s">
        <v>42</v>
      </c>
      <c r="F298" t="s">
        <v>43</v>
      </c>
      <c r="G298" s="1">
        <v>45685</v>
      </c>
      <c r="H298" t="s">
        <v>28</v>
      </c>
      <c r="I298">
        <v>85529</v>
      </c>
      <c r="J298">
        <v>12</v>
      </c>
      <c r="K298" t="s">
        <v>29</v>
      </c>
      <c r="L298" t="s">
        <v>19</v>
      </c>
    </row>
    <row r="299" spans="1:12" x14ac:dyDescent="0.25">
      <c r="A299" t="s">
        <v>365</v>
      </c>
      <c r="B299" t="s">
        <v>101</v>
      </c>
      <c r="C299">
        <v>76</v>
      </c>
      <c r="D299" t="s">
        <v>25</v>
      </c>
      <c r="E299" t="s">
        <v>42</v>
      </c>
      <c r="F299" t="s">
        <v>43</v>
      </c>
      <c r="G299" s="1">
        <v>45665</v>
      </c>
      <c r="H299" t="s">
        <v>35</v>
      </c>
      <c r="I299">
        <v>119131</v>
      </c>
      <c r="J299">
        <v>11</v>
      </c>
      <c r="K299" t="s">
        <v>29</v>
      </c>
      <c r="L299" t="s">
        <v>47</v>
      </c>
    </row>
    <row r="300" spans="1:12" x14ac:dyDescent="0.25">
      <c r="A300" t="s">
        <v>366</v>
      </c>
      <c r="B300" t="s">
        <v>131</v>
      </c>
      <c r="C300">
        <v>61</v>
      </c>
      <c r="D300" t="s">
        <v>14</v>
      </c>
      <c r="E300" t="s">
        <v>42</v>
      </c>
      <c r="F300" t="s">
        <v>43</v>
      </c>
      <c r="G300" s="1">
        <v>45686</v>
      </c>
      <c r="H300" t="s">
        <v>63</v>
      </c>
      <c r="I300">
        <v>24508</v>
      </c>
      <c r="J300">
        <v>5</v>
      </c>
      <c r="K300" t="s">
        <v>18</v>
      </c>
      <c r="L300" t="s">
        <v>30</v>
      </c>
    </row>
    <row r="301" spans="1:12" x14ac:dyDescent="0.25">
      <c r="A301" t="s">
        <v>367</v>
      </c>
      <c r="B301" t="s">
        <v>62</v>
      </c>
      <c r="C301">
        <v>66</v>
      </c>
      <c r="D301" t="s">
        <v>14</v>
      </c>
      <c r="E301" t="s">
        <v>26</v>
      </c>
      <c r="F301" t="s">
        <v>27</v>
      </c>
      <c r="G301" s="1">
        <v>45687</v>
      </c>
      <c r="H301" t="s">
        <v>107</v>
      </c>
      <c r="I301">
        <v>40226</v>
      </c>
      <c r="J301">
        <v>2</v>
      </c>
      <c r="K301" t="s">
        <v>18</v>
      </c>
      <c r="L301" t="s">
        <v>19</v>
      </c>
    </row>
    <row r="302" spans="1:12" x14ac:dyDescent="0.25">
      <c r="A302" t="s">
        <v>368</v>
      </c>
      <c r="B302" t="s">
        <v>21</v>
      </c>
      <c r="C302">
        <v>39</v>
      </c>
      <c r="D302" t="s">
        <v>14</v>
      </c>
      <c r="E302" t="s">
        <v>37</v>
      </c>
      <c r="F302" t="s">
        <v>38</v>
      </c>
      <c r="G302" s="1">
        <v>45682</v>
      </c>
      <c r="H302" t="s">
        <v>83</v>
      </c>
      <c r="I302">
        <v>104612</v>
      </c>
      <c r="J302">
        <v>11</v>
      </c>
      <c r="K302" t="s">
        <v>18</v>
      </c>
      <c r="L302" t="s">
        <v>19</v>
      </c>
    </row>
    <row r="303" spans="1:12" x14ac:dyDescent="0.25">
      <c r="A303" t="s">
        <v>369</v>
      </c>
      <c r="B303" t="s">
        <v>49</v>
      </c>
      <c r="C303">
        <v>21</v>
      </c>
      <c r="D303" t="s">
        <v>25</v>
      </c>
      <c r="E303" t="s">
        <v>15</v>
      </c>
      <c r="F303" t="s">
        <v>16</v>
      </c>
      <c r="G303" s="1">
        <v>45671</v>
      </c>
      <c r="H303" t="s">
        <v>17</v>
      </c>
      <c r="I303">
        <v>110926</v>
      </c>
      <c r="J303">
        <v>1</v>
      </c>
      <c r="K303" t="s">
        <v>29</v>
      </c>
      <c r="L303" t="s">
        <v>19</v>
      </c>
    </row>
    <row r="304" spans="1:12" x14ac:dyDescent="0.25">
      <c r="A304" t="s">
        <v>370</v>
      </c>
      <c r="B304" t="s">
        <v>70</v>
      </c>
      <c r="C304">
        <v>43</v>
      </c>
      <c r="D304" t="s">
        <v>14</v>
      </c>
      <c r="E304" t="s">
        <v>26</v>
      </c>
      <c r="F304" t="s">
        <v>27</v>
      </c>
      <c r="G304" s="1">
        <v>45658</v>
      </c>
      <c r="H304" t="s">
        <v>39</v>
      </c>
      <c r="I304">
        <v>103701</v>
      </c>
      <c r="J304">
        <v>7</v>
      </c>
      <c r="K304" t="s">
        <v>29</v>
      </c>
      <c r="L304" t="s">
        <v>30</v>
      </c>
    </row>
    <row r="305" spans="1:12" x14ac:dyDescent="0.25">
      <c r="A305" t="s">
        <v>371</v>
      </c>
      <c r="B305" t="s">
        <v>21</v>
      </c>
      <c r="C305">
        <v>78</v>
      </c>
      <c r="D305" t="s">
        <v>14</v>
      </c>
      <c r="E305" t="s">
        <v>55</v>
      </c>
      <c r="F305" t="s">
        <v>56</v>
      </c>
      <c r="G305" s="1">
        <v>45671</v>
      </c>
      <c r="H305" t="s">
        <v>68</v>
      </c>
      <c r="I305">
        <v>90088</v>
      </c>
      <c r="J305">
        <v>9</v>
      </c>
      <c r="K305" t="s">
        <v>29</v>
      </c>
      <c r="L305" t="s">
        <v>30</v>
      </c>
    </row>
    <row r="306" spans="1:12" x14ac:dyDescent="0.25">
      <c r="A306" t="s">
        <v>372</v>
      </c>
      <c r="B306" t="s">
        <v>92</v>
      </c>
      <c r="C306">
        <v>69</v>
      </c>
      <c r="D306" t="s">
        <v>25</v>
      </c>
      <c r="E306" t="s">
        <v>26</v>
      </c>
      <c r="F306" t="s">
        <v>27</v>
      </c>
      <c r="G306" s="1">
        <v>45680</v>
      </c>
      <c r="H306" t="s">
        <v>107</v>
      </c>
      <c r="I306">
        <v>11752</v>
      </c>
      <c r="J306">
        <v>4</v>
      </c>
      <c r="K306" t="s">
        <v>18</v>
      </c>
      <c r="L306" t="s">
        <v>47</v>
      </c>
    </row>
    <row r="307" spans="1:12" x14ac:dyDescent="0.25">
      <c r="A307" t="s">
        <v>373</v>
      </c>
      <c r="B307" t="s">
        <v>62</v>
      </c>
      <c r="C307">
        <v>65</v>
      </c>
      <c r="D307" t="s">
        <v>14</v>
      </c>
      <c r="E307" t="s">
        <v>15</v>
      </c>
      <c r="F307" t="s">
        <v>16</v>
      </c>
      <c r="G307" s="1">
        <v>45668</v>
      </c>
      <c r="H307" t="s">
        <v>44</v>
      </c>
      <c r="I307">
        <v>14965</v>
      </c>
      <c r="J307">
        <v>1</v>
      </c>
      <c r="K307" t="s">
        <v>18</v>
      </c>
      <c r="L307" t="s">
        <v>47</v>
      </c>
    </row>
    <row r="308" spans="1:12" x14ac:dyDescent="0.25">
      <c r="A308" t="s">
        <v>374</v>
      </c>
      <c r="B308" t="s">
        <v>49</v>
      </c>
      <c r="C308">
        <v>66</v>
      </c>
      <c r="D308" t="s">
        <v>14</v>
      </c>
      <c r="E308" t="s">
        <v>37</v>
      </c>
      <c r="F308" t="s">
        <v>38</v>
      </c>
      <c r="G308" s="1">
        <v>45661</v>
      </c>
      <c r="H308" t="s">
        <v>83</v>
      </c>
      <c r="I308">
        <v>12442</v>
      </c>
      <c r="J308">
        <v>2</v>
      </c>
      <c r="K308" t="s">
        <v>29</v>
      </c>
      <c r="L308" t="s">
        <v>47</v>
      </c>
    </row>
    <row r="309" spans="1:12" x14ac:dyDescent="0.25">
      <c r="A309" t="s">
        <v>375</v>
      </c>
      <c r="B309" t="s">
        <v>21</v>
      </c>
      <c r="C309">
        <v>50</v>
      </c>
      <c r="D309" t="s">
        <v>14</v>
      </c>
      <c r="E309" t="s">
        <v>26</v>
      </c>
      <c r="F309" t="s">
        <v>27</v>
      </c>
      <c r="G309" s="1">
        <v>45661</v>
      </c>
      <c r="H309" t="s">
        <v>22</v>
      </c>
      <c r="I309">
        <v>12746</v>
      </c>
      <c r="J309">
        <v>5</v>
      </c>
      <c r="K309" t="s">
        <v>18</v>
      </c>
      <c r="L309" t="s">
        <v>19</v>
      </c>
    </row>
    <row r="310" spans="1:12" x14ac:dyDescent="0.25">
      <c r="A310" t="s">
        <v>376</v>
      </c>
      <c r="B310" t="s">
        <v>59</v>
      </c>
      <c r="C310">
        <v>73</v>
      </c>
      <c r="D310" t="s">
        <v>14</v>
      </c>
      <c r="E310" t="s">
        <v>26</v>
      </c>
      <c r="F310" t="s">
        <v>27</v>
      </c>
      <c r="G310" s="1">
        <v>45658</v>
      </c>
      <c r="H310" t="s">
        <v>119</v>
      </c>
      <c r="I310">
        <v>55238</v>
      </c>
      <c r="J310">
        <v>6</v>
      </c>
      <c r="K310" t="s">
        <v>18</v>
      </c>
      <c r="L310" t="s">
        <v>19</v>
      </c>
    </row>
    <row r="311" spans="1:12" x14ac:dyDescent="0.25">
      <c r="A311" t="s">
        <v>377</v>
      </c>
      <c r="B311" t="s">
        <v>46</v>
      </c>
      <c r="C311">
        <v>54</v>
      </c>
      <c r="D311" t="s">
        <v>25</v>
      </c>
      <c r="E311" t="s">
        <v>26</v>
      </c>
      <c r="F311" t="s">
        <v>27</v>
      </c>
      <c r="G311" s="1">
        <v>45679</v>
      </c>
      <c r="H311" t="s">
        <v>65</v>
      </c>
      <c r="I311">
        <v>23216</v>
      </c>
      <c r="J311">
        <v>2</v>
      </c>
      <c r="K311" t="s">
        <v>29</v>
      </c>
      <c r="L311" t="s">
        <v>47</v>
      </c>
    </row>
    <row r="312" spans="1:12" x14ac:dyDescent="0.25">
      <c r="A312" t="s">
        <v>378</v>
      </c>
      <c r="B312" t="s">
        <v>72</v>
      </c>
      <c r="C312">
        <v>27</v>
      </c>
      <c r="D312" t="s">
        <v>25</v>
      </c>
      <c r="E312" t="s">
        <v>55</v>
      </c>
      <c r="F312" t="s">
        <v>56</v>
      </c>
      <c r="G312" s="1">
        <v>45663</v>
      </c>
      <c r="H312" t="s">
        <v>28</v>
      </c>
      <c r="I312">
        <v>37170</v>
      </c>
      <c r="J312">
        <v>6</v>
      </c>
      <c r="K312" t="s">
        <v>29</v>
      </c>
      <c r="L312" t="s">
        <v>47</v>
      </c>
    </row>
    <row r="313" spans="1:12" x14ac:dyDescent="0.25">
      <c r="A313" t="s">
        <v>379</v>
      </c>
      <c r="B313" t="s">
        <v>49</v>
      </c>
      <c r="C313">
        <v>34</v>
      </c>
      <c r="D313" t="s">
        <v>25</v>
      </c>
      <c r="E313" t="s">
        <v>42</v>
      </c>
      <c r="F313" t="s">
        <v>43</v>
      </c>
      <c r="G313" s="1">
        <v>45681</v>
      </c>
      <c r="H313" t="s">
        <v>74</v>
      </c>
      <c r="I313">
        <v>78831</v>
      </c>
      <c r="J313">
        <v>9</v>
      </c>
      <c r="K313" t="s">
        <v>18</v>
      </c>
      <c r="L313" t="s">
        <v>47</v>
      </c>
    </row>
    <row r="314" spans="1:12" x14ac:dyDescent="0.25">
      <c r="A314" t="s">
        <v>380</v>
      </c>
      <c r="B314" t="s">
        <v>62</v>
      </c>
      <c r="C314">
        <v>37</v>
      </c>
      <c r="D314" t="s">
        <v>25</v>
      </c>
      <c r="E314" t="s">
        <v>42</v>
      </c>
      <c r="F314" t="s">
        <v>43</v>
      </c>
      <c r="G314" s="1">
        <v>45688</v>
      </c>
      <c r="H314" t="s">
        <v>65</v>
      </c>
      <c r="I314">
        <v>44544</v>
      </c>
      <c r="J314">
        <v>9</v>
      </c>
      <c r="K314" t="s">
        <v>29</v>
      </c>
      <c r="L314" t="s">
        <v>47</v>
      </c>
    </row>
    <row r="315" spans="1:12" x14ac:dyDescent="0.25">
      <c r="A315" t="s">
        <v>381</v>
      </c>
      <c r="B315" t="s">
        <v>59</v>
      </c>
      <c r="C315">
        <v>45</v>
      </c>
      <c r="D315" t="s">
        <v>25</v>
      </c>
      <c r="E315" t="s">
        <v>37</v>
      </c>
      <c r="F315" t="s">
        <v>38</v>
      </c>
      <c r="G315" s="1">
        <v>45667</v>
      </c>
      <c r="H315" t="s">
        <v>57</v>
      </c>
      <c r="I315">
        <v>80064</v>
      </c>
      <c r="J315">
        <v>11</v>
      </c>
      <c r="K315" t="s">
        <v>18</v>
      </c>
      <c r="L315" t="s">
        <v>47</v>
      </c>
    </row>
    <row r="316" spans="1:12" x14ac:dyDescent="0.25">
      <c r="A316" t="s">
        <v>382</v>
      </c>
      <c r="B316" t="s">
        <v>51</v>
      </c>
      <c r="C316">
        <v>79</v>
      </c>
      <c r="D316" t="s">
        <v>14</v>
      </c>
      <c r="E316" t="s">
        <v>55</v>
      </c>
      <c r="F316" t="s">
        <v>56</v>
      </c>
      <c r="G316" s="1">
        <v>45688</v>
      </c>
      <c r="H316" t="s">
        <v>57</v>
      </c>
      <c r="I316">
        <v>39200</v>
      </c>
      <c r="J316">
        <v>11</v>
      </c>
      <c r="K316" t="s">
        <v>29</v>
      </c>
      <c r="L316" t="s">
        <v>19</v>
      </c>
    </row>
    <row r="317" spans="1:12" x14ac:dyDescent="0.25">
      <c r="A317" t="s">
        <v>383</v>
      </c>
      <c r="B317" t="s">
        <v>59</v>
      </c>
      <c r="C317">
        <v>42</v>
      </c>
      <c r="D317" t="s">
        <v>14</v>
      </c>
      <c r="E317" t="s">
        <v>33</v>
      </c>
      <c r="F317" t="s">
        <v>34</v>
      </c>
      <c r="G317" s="1">
        <v>45684</v>
      </c>
      <c r="H317" t="s">
        <v>65</v>
      </c>
      <c r="I317">
        <v>48843</v>
      </c>
      <c r="J317">
        <v>1</v>
      </c>
      <c r="K317" t="s">
        <v>18</v>
      </c>
      <c r="L317" t="s">
        <v>19</v>
      </c>
    </row>
    <row r="318" spans="1:12" x14ac:dyDescent="0.25">
      <c r="A318" t="s">
        <v>384</v>
      </c>
      <c r="B318" t="s">
        <v>51</v>
      </c>
      <c r="C318">
        <v>61</v>
      </c>
      <c r="D318" t="s">
        <v>25</v>
      </c>
      <c r="E318" t="s">
        <v>26</v>
      </c>
      <c r="F318" t="s">
        <v>27</v>
      </c>
      <c r="G318" s="1">
        <v>45688</v>
      </c>
      <c r="H318" t="s">
        <v>52</v>
      </c>
      <c r="I318">
        <v>93847</v>
      </c>
      <c r="J318">
        <v>3</v>
      </c>
      <c r="K318" t="s">
        <v>29</v>
      </c>
      <c r="L318" t="s">
        <v>47</v>
      </c>
    </row>
    <row r="319" spans="1:12" x14ac:dyDescent="0.25">
      <c r="A319" t="s">
        <v>385</v>
      </c>
      <c r="B319" t="s">
        <v>131</v>
      </c>
      <c r="C319">
        <v>70</v>
      </c>
      <c r="D319" t="s">
        <v>14</v>
      </c>
      <c r="E319" t="s">
        <v>15</v>
      </c>
      <c r="F319" t="s">
        <v>16</v>
      </c>
      <c r="G319" s="1">
        <v>45679</v>
      </c>
      <c r="H319" t="s">
        <v>74</v>
      </c>
      <c r="I319">
        <v>19242</v>
      </c>
      <c r="J319">
        <v>10</v>
      </c>
      <c r="K319" t="s">
        <v>29</v>
      </c>
      <c r="L319" t="s">
        <v>30</v>
      </c>
    </row>
    <row r="320" spans="1:12" x14ac:dyDescent="0.25">
      <c r="A320" t="s">
        <v>386</v>
      </c>
      <c r="B320" t="s">
        <v>62</v>
      </c>
      <c r="C320">
        <v>63</v>
      </c>
      <c r="D320" t="s">
        <v>14</v>
      </c>
      <c r="E320" t="s">
        <v>55</v>
      </c>
      <c r="F320" t="s">
        <v>56</v>
      </c>
      <c r="G320" s="1">
        <v>45683</v>
      </c>
      <c r="H320" t="s">
        <v>65</v>
      </c>
      <c r="I320">
        <v>10694</v>
      </c>
      <c r="J320">
        <v>7</v>
      </c>
      <c r="K320" t="s">
        <v>29</v>
      </c>
      <c r="L320" t="s">
        <v>19</v>
      </c>
    </row>
    <row r="321" spans="1:12" x14ac:dyDescent="0.25">
      <c r="A321" t="s">
        <v>387</v>
      </c>
      <c r="B321" t="s">
        <v>21</v>
      </c>
      <c r="C321">
        <v>50</v>
      </c>
      <c r="D321" t="s">
        <v>14</v>
      </c>
      <c r="E321" t="s">
        <v>37</v>
      </c>
      <c r="F321" t="s">
        <v>38</v>
      </c>
      <c r="G321" s="1">
        <v>45675</v>
      </c>
      <c r="H321" t="s">
        <v>63</v>
      </c>
      <c r="I321">
        <v>104641</v>
      </c>
      <c r="J321">
        <v>5</v>
      </c>
      <c r="K321" t="s">
        <v>18</v>
      </c>
      <c r="L321" t="s">
        <v>30</v>
      </c>
    </row>
    <row r="322" spans="1:12" x14ac:dyDescent="0.25">
      <c r="A322" t="s">
        <v>388</v>
      </c>
      <c r="B322" t="s">
        <v>49</v>
      </c>
      <c r="C322">
        <v>28</v>
      </c>
      <c r="D322" t="s">
        <v>25</v>
      </c>
      <c r="E322" t="s">
        <v>33</v>
      </c>
      <c r="F322" t="s">
        <v>34</v>
      </c>
      <c r="G322" s="1">
        <v>45676</v>
      </c>
      <c r="H322" t="s">
        <v>65</v>
      </c>
      <c r="I322">
        <v>99655</v>
      </c>
      <c r="J322">
        <v>5</v>
      </c>
      <c r="K322" t="s">
        <v>29</v>
      </c>
      <c r="L322" t="s">
        <v>30</v>
      </c>
    </row>
    <row r="323" spans="1:12" x14ac:dyDescent="0.25">
      <c r="A323" t="s">
        <v>389</v>
      </c>
      <c r="B323" t="s">
        <v>13</v>
      </c>
      <c r="C323">
        <v>34</v>
      </c>
      <c r="D323" t="s">
        <v>25</v>
      </c>
      <c r="E323" t="s">
        <v>42</v>
      </c>
      <c r="F323" t="s">
        <v>43</v>
      </c>
      <c r="G323" s="1">
        <v>45674</v>
      </c>
      <c r="H323" t="s">
        <v>76</v>
      </c>
      <c r="I323">
        <v>74137</v>
      </c>
      <c r="J323">
        <v>9</v>
      </c>
      <c r="K323" t="s">
        <v>18</v>
      </c>
      <c r="L323" t="s">
        <v>47</v>
      </c>
    </row>
    <row r="324" spans="1:12" x14ac:dyDescent="0.25">
      <c r="A324" t="s">
        <v>390</v>
      </c>
      <c r="B324" t="s">
        <v>41</v>
      </c>
      <c r="C324">
        <v>47</v>
      </c>
      <c r="D324" t="s">
        <v>25</v>
      </c>
      <c r="E324" t="s">
        <v>55</v>
      </c>
      <c r="F324" t="s">
        <v>56</v>
      </c>
      <c r="G324" s="1">
        <v>45669</v>
      </c>
      <c r="H324" t="s">
        <v>22</v>
      </c>
      <c r="I324">
        <v>64277</v>
      </c>
      <c r="J324">
        <v>1</v>
      </c>
      <c r="K324" t="s">
        <v>29</v>
      </c>
      <c r="L324" t="s">
        <v>47</v>
      </c>
    </row>
    <row r="325" spans="1:12" x14ac:dyDescent="0.25">
      <c r="A325" t="s">
        <v>391</v>
      </c>
      <c r="B325" t="s">
        <v>13</v>
      </c>
      <c r="C325">
        <v>71</v>
      </c>
      <c r="D325" t="s">
        <v>25</v>
      </c>
      <c r="E325" t="s">
        <v>42</v>
      </c>
      <c r="F325" t="s">
        <v>43</v>
      </c>
      <c r="G325" s="1">
        <v>45669</v>
      </c>
      <c r="H325" t="s">
        <v>119</v>
      </c>
      <c r="I325">
        <v>45966</v>
      </c>
      <c r="J325">
        <v>7</v>
      </c>
      <c r="K325" t="s">
        <v>18</v>
      </c>
      <c r="L325" t="s">
        <v>19</v>
      </c>
    </row>
    <row r="326" spans="1:12" x14ac:dyDescent="0.25">
      <c r="A326" t="s">
        <v>392</v>
      </c>
      <c r="B326" t="s">
        <v>49</v>
      </c>
      <c r="C326">
        <v>48</v>
      </c>
      <c r="D326" t="s">
        <v>25</v>
      </c>
      <c r="E326" t="s">
        <v>37</v>
      </c>
      <c r="F326" t="s">
        <v>38</v>
      </c>
      <c r="G326" s="1">
        <v>45672</v>
      </c>
      <c r="H326" t="s">
        <v>52</v>
      </c>
      <c r="I326">
        <v>42800</v>
      </c>
      <c r="J326">
        <v>1</v>
      </c>
      <c r="K326" t="s">
        <v>29</v>
      </c>
      <c r="L326" t="s">
        <v>30</v>
      </c>
    </row>
    <row r="327" spans="1:12" x14ac:dyDescent="0.25">
      <c r="A327" t="s">
        <v>393</v>
      </c>
      <c r="B327" t="s">
        <v>13</v>
      </c>
      <c r="C327">
        <v>19</v>
      </c>
      <c r="D327" t="s">
        <v>14</v>
      </c>
      <c r="E327" t="s">
        <v>15</v>
      </c>
      <c r="F327" t="s">
        <v>16</v>
      </c>
      <c r="G327" s="1">
        <v>45678</v>
      </c>
      <c r="H327" t="s">
        <v>102</v>
      </c>
      <c r="I327">
        <v>89754</v>
      </c>
      <c r="J327">
        <v>12</v>
      </c>
      <c r="K327" t="s">
        <v>18</v>
      </c>
      <c r="L327" t="s">
        <v>19</v>
      </c>
    </row>
    <row r="328" spans="1:12" x14ac:dyDescent="0.25">
      <c r="A328" t="s">
        <v>394</v>
      </c>
      <c r="B328" t="s">
        <v>101</v>
      </c>
      <c r="C328">
        <v>29</v>
      </c>
      <c r="D328" t="s">
        <v>25</v>
      </c>
      <c r="E328" t="s">
        <v>33</v>
      </c>
      <c r="F328" t="s">
        <v>34</v>
      </c>
      <c r="G328" s="1">
        <v>45668</v>
      </c>
      <c r="H328" t="s">
        <v>28</v>
      </c>
      <c r="I328">
        <v>61562</v>
      </c>
      <c r="J328">
        <v>3</v>
      </c>
      <c r="K328" t="s">
        <v>29</v>
      </c>
      <c r="L328" t="s">
        <v>19</v>
      </c>
    </row>
    <row r="329" spans="1:12" x14ac:dyDescent="0.25">
      <c r="A329" t="s">
        <v>395</v>
      </c>
      <c r="B329" t="s">
        <v>51</v>
      </c>
      <c r="C329">
        <v>58</v>
      </c>
      <c r="D329" t="s">
        <v>14</v>
      </c>
      <c r="E329" t="s">
        <v>33</v>
      </c>
      <c r="F329" t="s">
        <v>34</v>
      </c>
      <c r="G329" s="1">
        <v>45670</v>
      </c>
      <c r="H329" t="s">
        <v>22</v>
      </c>
      <c r="I329">
        <v>97650</v>
      </c>
      <c r="J329">
        <v>9</v>
      </c>
      <c r="K329" t="s">
        <v>18</v>
      </c>
      <c r="L329" t="s">
        <v>47</v>
      </c>
    </row>
    <row r="330" spans="1:12" x14ac:dyDescent="0.25">
      <c r="A330" t="s">
        <v>396</v>
      </c>
      <c r="B330" t="s">
        <v>32</v>
      </c>
      <c r="C330">
        <v>42</v>
      </c>
      <c r="D330" t="s">
        <v>25</v>
      </c>
      <c r="E330" t="s">
        <v>26</v>
      </c>
      <c r="F330" t="s">
        <v>27</v>
      </c>
      <c r="G330" s="1">
        <v>45680</v>
      </c>
      <c r="H330" t="s">
        <v>35</v>
      </c>
      <c r="I330">
        <v>27972</v>
      </c>
      <c r="J330">
        <v>4</v>
      </c>
      <c r="K330" t="s">
        <v>18</v>
      </c>
      <c r="L330" t="s">
        <v>19</v>
      </c>
    </row>
    <row r="331" spans="1:12" x14ac:dyDescent="0.25">
      <c r="A331" t="s">
        <v>397</v>
      </c>
      <c r="B331" t="s">
        <v>21</v>
      </c>
      <c r="C331">
        <v>29</v>
      </c>
      <c r="D331" t="s">
        <v>14</v>
      </c>
      <c r="E331" t="s">
        <v>42</v>
      </c>
      <c r="F331" t="s">
        <v>43</v>
      </c>
      <c r="G331" s="1">
        <v>45668</v>
      </c>
      <c r="H331" t="s">
        <v>35</v>
      </c>
      <c r="I331">
        <v>60972</v>
      </c>
      <c r="J331">
        <v>1</v>
      </c>
      <c r="K331" t="s">
        <v>29</v>
      </c>
      <c r="L331" t="s">
        <v>19</v>
      </c>
    </row>
    <row r="332" spans="1:12" x14ac:dyDescent="0.25">
      <c r="A332" t="s">
        <v>398</v>
      </c>
      <c r="B332" t="s">
        <v>101</v>
      </c>
      <c r="C332">
        <v>79</v>
      </c>
      <c r="D332" t="s">
        <v>14</v>
      </c>
      <c r="E332" t="s">
        <v>37</v>
      </c>
      <c r="F332" t="s">
        <v>38</v>
      </c>
      <c r="G332" s="1">
        <v>45677</v>
      </c>
      <c r="H332" t="s">
        <v>65</v>
      </c>
      <c r="I332">
        <v>81125</v>
      </c>
      <c r="J332">
        <v>6</v>
      </c>
      <c r="K332" t="s">
        <v>18</v>
      </c>
      <c r="L332" t="s">
        <v>47</v>
      </c>
    </row>
    <row r="333" spans="1:12" x14ac:dyDescent="0.25">
      <c r="A333" t="s">
        <v>399</v>
      </c>
      <c r="B333" t="s">
        <v>88</v>
      </c>
      <c r="C333">
        <v>57</v>
      </c>
      <c r="D333" t="s">
        <v>25</v>
      </c>
      <c r="E333" t="s">
        <v>55</v>
      </c>
      <c r="F333" t="s">
        <v>56</v>
      </c>
      <c r="G333" s="1">
        <v>45684</v>
      </c>
      <c r="H333" t="s">
        <v>119</v>
      </c>
      <c r="I333">
        <v>81541</v>
      </c>
      <c r="J333">
        <v>9</v>
      </c>
      <c r="K333" t="s">
        <v>18</v>
      </c>
      <c r="L333" t="s">
        <v>19</v>
      </c>
    </row>
    <row r="334" spans="1:12" x14ac:dyDescent="0.25">
      <c r="A334" t="s">
        <v>400</v>
      </c>
      <c r="B334" t="s">
        <v>59</v>
      </c>
      <c r="C334">
        <v>25</v>
      </c>
      <c r="D334" t="s">
        <v>25</v>
      </c>
      <c r="E334" t="s">
        <v>33</v>
      </c>
      <c r="F334" t="s">
        <v>34</v>
      </c>
      <c r="G334" s="1">
        <v>45667</v>
      </c>
      <c r="H334" t="s">
        <v>102</v>
      </c>
      <c r="I334">
        <v>24992</v>
      </c>
      <c r="J334">
        <v>5</v>
      </c>
      <c r="K334" t="s">
        <v>18</v>
      </c>
      <c r="L334" t="s">
        <v>19</v>
      </c>
    </row>
    <row r="335" spans="1:12" x14ac:dyDescent="0.25">
      <c r="A335" t="s">
        <v>401</v>
      </c>
      <c r="B335" t="s">
        <v>32</v>
      </c>
      <c r="C335">
        <v>56</v>
      </c>
      <c r="D335" t="s">
        <v>25</v>
      </c>
      <c r="E335" t="s">
        <v>37</v>
      </c>
      <c r="F335" t="s">
        <v>38</v>
      </c>
      <c r="G335" s="1">
        <v>45676</v>
      </c>
      <c r="H335" t="s">
        <v>65</v>
      </c>
      <c r="I335">
        <v>56448</v>
      </c>
      <c r="J335">
        <v>2</v>
      </c>
      <c r="K335" t="s">
        <v>29</v>
      </c>
      <c r="L335" t="s">
        <v>19</v>
      </c>
    </row>
    <row r="336" spans="1:12" x14ac:dyDescent="0.25">
      <c r="A336" t="s">
        <v>402</v>
      </c>
      <c r="B336" t="s">
        <v>51</v>
      </c>
      <c r="C336">
        <v>53</v>
      </c>
      <c r="D336" t="s">
        <v>25</v>
      </c>
      <c r="E336" t="s">
        <v>26</v>
      </c>
      <c r="F336" t="s">
        <v>27</v>
      </c>
      <c r="G336" s="1">
        <v>45673</v>
      </c>
      <c r="H336" t="s">
        <v>119</v>
      </c>
      <c r="I336">
        <v>19388</v>
      </c>
      <c r="J336">
        <v>2</v>
      </c>
      <c r="K336" t="s">
        <v>29</v>
      </c>
      <c r="L336" t="s">
        <v>47</v>
      </c>
    </row>
    <row r="337" spans="1:12" x14ac:dyDescent="0.25">
      <c r="A337" t="s">
        <v>403</v>
      </c>
      <c r="B337" t="s">
        <v>54</v>
      </c>
      <c r="C337">
        <v>73</v>
      </c>
      <c r="D337" t="s">
        <v>14</v>
      </c>
      <c r="E337" t="s">
        <v>26</v>
      </c>
      <c r="F337" t="s">
        <v>27</v>
      </c>
      <c r="G337" s="1">
        <v>45688</v>
      </c>
      <c r="H337" t="s">
        <v>22</v>
      </c>
      <c r="I337">
        <v>64518</v>
      </c>
      <c r="J337">
        <v>2</v>
      </c>
      <c r="K337" t="s">
        <v>18</v>
      </c>
      <c r="L337" t="s">
        <v>47</v>
      </c>
    </row>
    <row r="338" spans="1:12" x14ac:dyDescent="0.25">
      <c r="A338" t="s">
        <v>404</v>
      </c>
      <c r="B338" t="s">
        <v>101</v>
      </c>
      <c r="C338">
        <v>59</v>
      </c>
      <c r="D338" t="s">
        <v>14</v>
      </c>
      <c r="E338" t="s">
        <v>26</v>
      </c>
      <c r="F338" t="s">
        <v>27</v>
      </c>
      <c r="G338" s="1">
        <v>45671</v>
      </c>
      <c r="H338" t="s">
        <v>74</v>
      </c>
      <c r="I338">
        <v>55477</v>
      </c>
      <c r="J338">
        <v>11</v>
      </c>
      <c r="K338" t="s">
        <v>29</v>
      </c>
      <c r="L338" t="s">
        <v>47</v>
      </c>
    </row>
    <row r="339" spans="1:12" x14ac:dyDescent="0.25">
      <c r="A339" t="s">
        <v>405</v>
      </c>
      <c r="B339" t="s">
        <v>131</v>
      </c>
      <c r="C339">
        <v>54</v>
      </c>
      <c r="D339" t="s">
        <v>25</v>
      </c>
      <c r="E339" t="s">
        <v>33</v>
      </c>
      <c r="F339" t="s">
        <v>34</v>
      </c>
      <c r="G339" s="1">
        <v>45683</v>
      </c>
      <c r="H339" t="s">
        <v>17</v>
      </c>
      <c r="I339">
        <v>39284</v>
      </c>
      <c r="J339">
        <v>0</v>
      </c>
      <c r="K339" t="s">
        <v>29</v>
      </c>
      <c r="L339" t="s">
        <v>30</v>
      </c>
    </row>
    <row r="340" spans="1:12" x14ac:dyDescent="0.25">
      <c r="A340" t="s">
        <v>406</v>
      </c>
      <c r="B340" t="s">
        <v>92</v>
      </c>
      <c r="C340">
        <v>28</v>
      </c>
      <c r="D340" t="s">
        <v>14</v>
      </c>
      <c r="E340" t="s">
        <v>26</v>
      </c>
      <c r="F340" t="s">
        <v>27</v>
      </c>
      <c r="G340" s="1">
        <v>45676</v>
      </c>
      <c r="H340" t="s">
        <v>74</v>
      </c>
      <c r="I340">
        <v>73053</v>
      </c>
      <c r="J340">
        <v>8</v>
      </c>
      <c r="K340" t="s">
        <v>18</v>
      </c>
      <c r="L340" t="s">
        <v>19</v>
      </c>
    </row>
    <row r="341" spans="1:12" x14ac:dyDescent="0.25">
      <c r="A341" t="s">
        <v>407</v>
      </c>
      <c r="B341" t="s">
        <v>82</v>
      </c>
      <c r="C341">
        <v>67</v>
      </c>
      <c r="D341" t="s">
        <v>14</v>
      </c>
      <c r="E341" t="s">
        <v>42</v>
      </c>
      <c r="F341" t="s">
        <v>43</v>
      </c>
      <c r="G341" s="1">
        <v>45675</v>
      </c>
      <c r="H341" t="s">
        <v>63</v>
      </c>
      <c r="I341">
        <v>100615</v>
      </c>
      <c r="J341">
        <v>11</v>
      </c>
      <c r="K341" t="s">
        <v>29</v>
      </c>
      <c r="L341" t="s">
        <v>19</v>
      </c>
    </row>
    <row r="342" spans="1:12" x14ac:dyDescent="0.25">
      <c r="A342" t="s">
        <v>408</v>
      </c>
      <c r="B342" t="s">
        <v>32</v>
      </c>
      <c r="C342">
        <v>24</v>
      </c>
      <c r="D342" t="s">
        <v>25</v>
      </c>
      <c r="E342" t="s">
        <v>33</v>
      </c>
      <c r="F342" t="s">
        <v>34</v>
      </c>
      <c r="G342" s="1">
        <v>45667</v>
      </c>
      <c r="H342" t="s">
        <v>63</v>
      </c>
      <c r="I342">
        <v>59947</v>
      </c>
      <c r="J342">
        <v>4</v>
      </c>
      <c r="K342" t="s">
        <v>29</v>
      </c>
      <c r="L342" t="s">
        <v>30</v>
      </c>
    </row>
    <row r="343" spans="1:12" x14ac:dyDescent="0.25">
      <c r="A343" t="s">
        <v>409</v>
      </c>
      <c r="B343" t="s">
        <v>13</v>
      </c>
      <c r="C343">
        <v>67</v>
      </c>
      <c r="D343" t="s">
        <v>25</v>
      </c>
      <c r="E343" t="s">
        <v>37</v>
      </c>
      <c r="F343" t="s">
        <v>38</v>
      </c>
      <c r="G343" s="1">
        <v>45664</v>
      </c>
      <c r="H343" t="s">
        <v>44</v>
      </c>
      <c r="I343">
        <v>113859</v>
      </c>
      <c r="J343">
        <v>11</v>
      </c>
      <c r="K343" t="s">
        <v>29</v>
      </c>
      <c r="L343" t="s">
        <v>30</v>
      </c>
    </row>
    <row r="344" spans="1:12" x14ac:dyDescent="0.25">
      <c r="A344" t="s">
        <v>410</v>
      </c>
      <c r="B344" t="s">
        <v>62</v>
      </c>
      <c r="C344">
        <v>68</v>
      </c>
      <c r="D344" t="s">
        <v>25</v>
      </c>
      <c r="E344" t="s">
        <v>26</v>
      </c>
      <c r="F344" t="s">
        <v>27</v>
      </c>
      <c r="G344" s="1">
        <v>45684</v>
      </c>
      <c r="H344" t="s">
        <v>35</v>
      </c>
      <c r="I344">
        <v>106570</v>
      </c>
      <c r="J344">
        <v>0</v>
      </c>
      <c r="K344" t="s">
        <v>29</v>
      </c>
      <c r="L344" t="s">
        <v>19</v>
      </c>
    </row>
    <row r="345" spans="1:12" x14ac:dyDescent="0.25">
      <c r="A345" t="s">
        <v>411</v>
      </c>
      <c r="B345" t="s">
        <v>70</v>
      </c>
      <c r="C345">
        <v>52</v>
      </c>
      <c r="D345" t="s">
        <v>25</v>
      </c>
      <c r="E345" t="s">
        <v>55</v>
      </c>
      <c r="F345" t="s">
        <v>56</v>
      </c>
      <c r="G345" s="1">
        <v>45668</v>
      </c>
      <c r="H345" t="s">
        <v>119</v>
      </c>
      <c r="I345">
        <v>38923</v>
      </c>
      <c r="J345">
        <v>9</v>
      </c>
      <c r="K345" t="s">
        <v>29</v>
      </c>
      <c r="L345" t="s">
        <v>19</v>
      </c>
    </row>
    <row r="346" spans="1:12" x14ac:dyDescent="0.25">
      <c r="A346" t="s">
        <v>412</v>
      </c>
      <c r="B346" t="s">
        <v>13</v>
      </c>
      <c r="C346">
        <v>26</v>
      </c>
      <c r="D346" t="s">
        <v>14</v>
      </c>
      <c r="E346" t="s">
        <v>15</v>
      </c>
      <c r="F346" t="s">
        <v>16</v>
      </c>
      <c r="G346" s="1">
        <v>45687</v>
      </c>
      <c r="H346" t="s">
        <v>63</v>
      </c>
      <c r="I346">
        <v>37349</v>
      </c>
      <c r="J346">
        <v>10</v>
      </c>
      <c r="K346" t="s">
        <v>18</v>
      </c>
      <c r="L346" t="s">
        <v>19</v>
      </c>
    </row>
    <row r="347" spans="1:12" x14ac:dyDescent="0.25">
      <c r="A347" t="s">
        <v>413</v>
      </c>
      <c r="B347" t="s">
        <v>46</v>
      </c>
      <c r="C347">
        <v>27</v>
      </c>
      <c r="D347" t="s">
        <v>14</v>
      </c>
      <c r="E347" t="s">
        <v>33</v>
      </c>
      <c r="F347" t="s">
        <v>34</v>
      </c>
      <c r="G347" s="1">
        <v>45684</v>
      </c>
      <c r="H347" t="s">
        <v>17</v>
      </c>
      <c r="I347">
        <v>100807</v>
      </c>
      <c r="J347">
        <v>10</v>
      </c>
      <c r="K347" t="s">
        <v>29</v>
      </c>
      <c r="L347" t="s">
        <v>47</v>
      </c>
    </row>
    <row r="348" spans="1:12" x14ac:dyDescent="0.25">
      <c r="A348" t="s">
        <v>414</v>
      </c>
      <c r="B348" t="s">
        <v>98</v>
      </c>
      <c r="C348">
        <v>58</v>
      </c>
      <c r="D348" t="s">
        <v>14</v>
      </c>
      <c r="E348" t="s">
        <v>33</v>
      </c>
      <c r="F348" t="s">
        <v>34</v>
      </c>
      <c r="G348" s="1">
        <v>45678</v>
      </c>
      <c r="H348" t="s">
        <v>28</v>
      </c>
      <c r="I348">
        <v>50174</v>
      </c>
      <c r="J348">
        <v>7</v>
      </c>
      <c r="K348" t="s">
        <v>18</v>
      </c>
      <c r="L348" t="s">
        <v>19</v>
      </c>
    </row>
    <row r="349" spans="1:12" x14ac:dyDescent="0.25">
      <c r="A349" t="s">
        <v>415</v>
      </c>
      <c r="B349" t="s">
        <v>41</v>
      </c>
      <c r="C349">
        <v>50</v>
      </c>
      <c r="D349" t="s">
        <v>14</v>
      </c>
      <c r="E349" t="s">
        <v>42</v>
      </c>
      <c r="F349" t="s">
        <v>43</v>
      </c>
      <c r="G349" s="1">
        <v>45680</v>
      </c>
      <c r="H349" t="s">
        <v>44</v>
      </c>
      <c r="I349">
        <v>60597</v>
      </c>
      <c r="J349">
        <v>7</v>
      </c>
      <c r="K349" t="s">
        <v>29</v>
      </c>
      <c r="L349" t="s">
        <v>19</v>
      </c>
    </row>
    <row r="350" spans="1:12" x14ac:dyDescent="0.25">
      <c r="A350" t="s">
        <v>416</v>
      </c>
      <c r="B350" t="s">
        <v>131</v>
      </c>
      <c r="C350">
        <v>64</v>
      </c>
      <c r="D350" t="s">
        <v>14</v>
      </c>
      <c r="E350" t="s">
        <v>42</v>
      </c>
      <c r="F350" t="s">
        <v>43</v>
      </c>
      <c r="G350" s="1">
        <v>45678</v>
      </c>
      <c r="H350" t="s">
        <v>44</v>
      </c>
      <c r="I350">
        <v>112425</v>
      </c>
      <c r="J350">
        <v>1</v>
      </c>
      <c r="K350" t="s">
        <v>29</v>
      </c>
      <c r="L350" t="s">
        <v>30</v>
      </c>
    </row>
    <row r="351" spans="1:12" x14ac:dyDescent="0.25">
      <c r="A351" t="s">
        <v>417</v>
      </c>
      <c r="B351" t="s">
        <v>78</v>
      </c>
      <c r="C351">
        <v>49</v>
      </c>
      <c r="D351" t="s">
        <v>14</v>
      </c>
      <c r="E351" t="s">
        <v>37</v>
      </c>
      <c r="F351" t="s">
        <v>38</v>
      </c>
      <c r="G351" s="1">
        <v>45668</v>
      </c>
      <c r="H351" t="s">
        <v>119</v>
      </c>
      <c r="I351">
        <v>45270</v>
      </c>
      <c r="J351">
        <v>8</v>
      </c>
      <c r="K351" t="s">
        <v>18</v>
      </c>
      <c r="L351" t="s">
        <v>19</v>
      </c>
    </row>
    <row r="352" spans="1:12" x14ac:dyDescent="0.25">
      <c r="A352" t="s">
        <v>418</v>
      </c>
      <c r="B352" t="s">
        <v>59</v>
      </c>
      <c r="C352">
        <v>75</v>
      </c>
      <c r="D352" t="s">
        <v>25</v>
      </c>
      <c r="E352" t="s">
        <v>37</v>
      </c>
      <c r="F352" t="s">
        <v>38</v>
      </c>
      <c r="G352" s="1">
        <v>45659</v>
      </c>
      <c r="H352" t="s">
        <v>102</v>
      </c>
      <c r="I352">
        <v>83074</v>
      </c>
      <c r="J352">
        <v>12</v>
      </c>
      <c r="K352" t="s">
        <v>29</v>
      </c>
      <c r="L352" t="s">
        <v>30</v>
      </c>
    </row>
    <row r="353" spans="1:12" x14ac:dyDescent="0.25">
      <c r="A353" t="s">
        <v>419</v>
      </c>
      <c r="B353" t="s">
        <v>51</v>
      </c>
      <c r="C353">
        <v>46</v>
      </c>
      <c r="D353" t="s">
        <v>14</v>
      </c>
      <c r="E353" t="s">
        <v>42</v>
      </c>
      <c r="F353" t="s">
        <v>43</v>
      </c>
      <c r="G353" s="1">
        <v>45658</v>
      </c>
      <c r="H353" t="s">
        <v>28</v>
      </c>
      <c r="I353">
        <v>27518</v>
      </c>
      <c r="J353">
        <v>11</v>
      </c>
      <c r="K353" t="s">
        <v>18</v>
      </c>
      <c r="L353" t="s">
        <v>19</v>
      </c>
    </row>
    <row r="354" spans="1:12" x14ac:dyDescent="0.25">
      <c r="A354" t="s">
        <v>420</v>
      </c>
      <c r="B354" t="s">
        <v>51</v>
      </c>
      <c r="C354">
        <v>73</v>
      </c>
      <c r="D354" t="s">
        <v>14</v>
      </c>
      <c r="E354" t="s">
        <v>55</v>
      </c>
      <c r="F354" t="s">
        <v>56</v>
      </c>
      <c r="G354" s="1">
        <v>45660</v>
      </c>
      <c r="H354" t="s">
        <v>44</v>
      </c>
      <c r="I354">
        <v>33819</v>
      </c>
      <c r="J354">
        <v>1</v>
      </c>
      <c r="K354" t="s">
        <v>29</v>
      </c>
      <c r="L354" t="s">
        <v>19</v>
      </c>
    </row>
    <row r="355" spans="1:12" x14ac:dyDescent="0.25">
      <c r="A355" t="s">
        <v>421</v>
      </c>
      <c r="B355" t="s">
        <v>51</v>
      </c>
      <c r="C355">
        <v>21</v>
      </c>
      <c r="D355" t="s">
        <v>14</v>
      </c>
      <c r="E355" t="s">
        <v>15</v>
      </c>
      <c r="F355" t="s">
        <v>16</v>
      </c>
      <c r="G355" s="1">
        <v>45678</v>
      </c>
      <c r="H355" t="s">
        <v>119</v>
      </c>
      <c r="I355">
        <v>96156</v>
      </c>
      <c r="J355">
        <v>11</v>
      </c>
      <c r="K355" t="s">
        <v>18</v>
      </c>
      <c r="L355" t="s">
        <v>47</v>
      </c>
    </row>
    <row r="356" spans="1:12" x14ac:dyDescent="0.25">
      <c r="A356" t="s">
        <v>422</v>
      </c>
      <c r="B356" t="s">
        <v>131</v>
      </c>
      <c r="C356">
        <v>63</v>
      </c>
      <c r="D356" t="s">
        <v>25</v>
      </c>
      <c r="E356" t="s">
        <v>15</v>
      </c>
      <c r="F356" t="s">
        <v>16</v>
      </c>
      <c r="G356" s="1">
        <v>45658</v>
      </c>
      <c r="H356" t="s">
        <v>35</v>
      </c>
      <c r="I356">
        <v>63496</v>
      </c>
      <c r="J356">
        <v>1</v>
      </c>
      <c r="K356" t="s">
        <v>18</v>
      </c>
      <c r="L356" t="s">
        <v>19</v>
      </c>
    </row>
    <row r="357" spans="1:12" x14ac:dyDescent="0.25">
      <c r="A357" t="s">
        <v>423</v>
      </c>
      <c r="B357" t="s">
        <v>101</v>
      </c>
      <c r="C357">
        <v>61</v>
      </c>
      <c r="D357" t="s">
        <v>14</v>
      </c>
      <c r="E357" t="s">
        <v>33</v>
      </c>
      <c r="F357" t="s">
        <v>34</v>
      </c>
      <c r="G357" s="1">
        <v>45658</v>
      </c>
      <c r="H357" t="s">
        <v>22</v>
      </c>
      <c r="I357">
        <v>92173</v>
      </c>
      <c r="J357">
        <v>5</v>
      </c>
      <c r="K357" t="s">
        <v>18</v>
      </c>
      <c r="L357" t="s">
        <v>47</v>
      </c>
    </row>
    <row r="358" spans="1:12" x14ac:dyDescent="0.25">
      <c r="A358" t="s">
        <v>424</v>
      </c>
      <c r="B358" t="s">
        <v>62</v>
      </c>
      <c r="C358">
        <v>48</v>
      </c>
      <c r="D358" t="s">
        <v>25</v>
      </c>
      <c r="E358" t="s">
        <v>15</v>
      </c>
      <c r="F358" t="s">
        <v>16</v>
      </c>
      <c r="G358" s="1">
        <v>45665</v>
      </c>
      <c r="H358" t="s">
        <v>65</v>
      </c>
      <c r="I358">
        <v>12708</v>
      </c>
      <c r="J358">
        <v>11</v>
      </c>
      <c r="K358" t="s">
        <v>18</v>
      </c>
      <c r="L358" t="s">
        <v>30</v>
      </c>
    </row>
    <row r="359" spans="1:12" x14ac:dyDescent="0.25">
      <c r="A359" t="s">
        <v>425</v>
      </c>
      <c r="B359" t="s">
        <v>49</v>
      </c>
      <c r="C359">
        <v>74</v>
      </c>
      <c r="D359" t="s">
        <v>14</v>
      </c>
      <c r="E359" t="s">
        <v>55</v>
      </c>
      <c r="F359" t="s">
        <v>56</v>
      </c>
      <c r="G359" s="1">
        <v>45662</v>
      </c>
      <c r="H359" t="s">
        <v>65</v>
      </c>
      <c r="I359">
        <v>102379</v>
      </c>
      <c r="J359">
        <v>12</v>
      </c>
      <c r="K359" t="s">
        <v>18</v>
      </c>
      <c r="L359" t="s">
        <v>19</v>
      </c>
    </row>
    <row r="360" spans="1:12" x14ac:dyDescent="0.25">
      <c r="A360" t="s">
        <v>426</v>
      </c>
      <c r="B360" t="s">
        <v>62</v>
      </c>
      <c r="C360">
        <v>22</v>
      </c>
      <c r="D360" t="s">
        <v>25</v>
      </c>
      <c r="E360" t="s">
        <v>15</v>
      </c>
      <c r="F360" t="s">
        <v>16</v>
      </c>
      <c r="G360" s="1">
        <v>45677</v>
      </c>
      <c r="H360" t="s">
        <v>68</v>
      </c>
      <c r="I360">
        <v>58684</v>
      </c>
      <c r="J360">
        <v>5</v>
      </c>
      <c r="K360" t="s">
        <v>18</v>
      </c>
      <c r="L360" t="s">
        <v>19</v>
      </c>
    </row>
    <row r="361" spans="1:12" x14ac:dyDescent="0.25">
      <c r="A361" t="s">
        <v>427</v>
      </c>
      <c r="B361" t="s">
        <v>62</v>
      </c>
      <c r="C361">
        <v>76</v>
      </c>
      <c r="D361" t="s">
        <v>14</v>
      </c>
      <c r="E361" t="s">
        <v>15</v>
      </c>
      <c r="F361" t="s">
        <v>16</v>
      </c>
      <c r="G361" s="1">
        <v>45677</v>
      </c>
      <c r="H361" t="s">
        <v>52</v>
      </c>
      <c r="I361">
        <v>113717</v>
      </c>
      <c r="J361">
        <v>3</v>
      </c>
      <c r="K361" t="s">
        <v>18</v>
      </c>
      <c r="L361" t="s">
        <v>30</v>
      </c>
    </row>
    <row r="362" spans="1:12" x14ac:dyDescent="0.25">
      <c r="A362" t="s">
        <v>428</v>
      </c>
      <c r="B362" t="s">
        <v>13</v>
      </c>
      <c r="C362">
        <v>55</v>
      </c>
      <c r="D362" t="s">
        <v>14</v>
      </c>
      <c r="E362" t="s">
        <v>33</v>
      </c>
      <c r="F362" t="s">
        <v>34</v>
      </c>
      <c r="G362" s="1">
        <v>45669</v>
      </c>
      <c r="H362" t="s">
        <v>28</v>
      </c>
      <c r="I362">
        <v>42222</v>
      </c>
      <c r="J362">
        <v>12</v>
      </c>
      <c r="K362" t="s">
        <v>18</v>
      </c>
      <c r="L362" t="s">
        <v>30</v>
      </c>
    </row>
    <row r="363" spans="1:12" x14ac:dyDescent="0.25">
      <c r="A363" t="s">
        <v>429</v>
      </c>
      <c r="B363" t="s">
        <v>131</v>
      </c>
      <c r="C363">
        <v>33</v>
      </c>
      <c r="D363" t="s">
        <v>14</v>
      </c>
      <c r="E363" t="s">
        <v>55</v>
      </c>
      <c r="F363" t="s">
        <v>56</v>
      </c>
      <c r="G363" s="1">
        <v>45682</v>
      </c>
      <c r="H363" t="s">
        <v>22</v>
      </c>
      <c r="I363">
        <v>112134</v>
      </c>
      <c r="J363">
        <v>10</v>
      </c>
      <c r="K363" t="s">
        <v>29</v>
      </c>
      <c r="L363" t="s">
        <v>30</v>
      </c>
    </row>
    <row r="364" spans="1:12" x14ac:dyDescent="0.25">
      <c r="A364" t="s">
        <v>430</v>
      </c>
      <c r="B364" t="s">
        <v>70</v>
      </c>
      <c r="C364">
        <v>50</v>
      </c>
      <c r="D364" t="s">
        <v>25</v>
      </c>
      <c r="E364" t="s">
        <v>26</v>
      </c>
      <c r="F364" t="s">
        <v>27</v>
      </c>
      <c r="G364" s="1">
        <v>45681</v>
      </c>
      <c r="H364" t="s">
        <v>65</v>
      </c>
      <c r="I364">
        <v>39737</v>
      </c>
      <c r="J364">
        <v>10</v>
      </c>
      <c r="K364" t="s">
        <v>18</v>
      </c>
      <c r="L364" t="s">
        <v>30</v>
      </c>
    </row>
    <row r="365" spans="1:12" x14ac:dyDescent="0.25">
      <c r="A365" t="s">
        <v>431</v>
      </c>
      <c r="B365" t="s">
        <v>41</v>
      </c>
      <c r="C365">
        <v>25</v>
      </c>
      <c r="D365" t="s">
        <v>25</v>
      </c>
      <c r="E365" t="s">
        <v>37</v>
      </c>
      <c r="F365" t="s">
        <v>38</v>
      </c>
      <c r="G365" s="1">
        <v>45673</v>
      </c>
      <c r="H365" t="s">
        <v>107</v>
      </c>
      <c r="I365">
        <v>70243</v>
      </c>
      <c r="J365">
        <v>0</v>
      </c>
      <c r="K365" t="s">
        <v>29</v>
      </c>
      <c r="L365" t="s">
        <v>47</v>
      </c>
    </row>
    <row r="366" spans="1:12" x14ac:dyDescent="0.25">
      <c r="A366" t="s">
        <v>432</v>
      </c>
      <c r="B366" t="s">
        <v>41</v>
      </c>
      <c r="C366">
        <v>73</v>
      </c>
      <c r="D366" t="s">
        <v>14</v>
      </c>
      <c r="E366" t="s">
        <v>33</v>
      </c>
      <c r="F366" t="s">
        <v>34</v>
      </c>
      <c r="G366" s="1">
        <v>45669</v>
      </c>
      <c r="H366" t="s">
        <v>68</v>
      </c>
      <c r="I366">
        <v>100972</v>
      </c>
      <c r="J366">
        <v>7</v>
      </c>
      <c r="K366" t="s">
        <v>18</v>
      </c>
      <c r="L366" t="s">
        <v>30</v>
      </c>
    </row>
    <row r="367" spans="1:12" x14ac:dyDescent="0.25">
      <c r="A367" t="s">
        <v>433</v>
      </c>
      <c r="B367" t="s">
        <v>131</v>
      </c>
      <c r="C367">
        <v>18</v>
      </c>
      <c r="D367" t="s">
        <v>14</v>
      </c>
      <c r="E367" t="s">
        <v>26</v>
      </c>
      <c r="F367" t="s">
        <v>27</v>
      </c>
      <c r="G367" s="1">
        <v>45664</v>
      </c>
      <c r="H367" t="s">
        <v>63</v>
      </c>
      <c r="I367">
        <v>8925</v>
      </c>
      <c r="J367">
        <v>12</v>
      </c>
      <c r="K367" t="s">
        <v>29</v>
      </c>
      <c r="L367" t="s">
        <v>19</v>
      </c>
    </row>
    <row r="368" spans="1:12" x14ac:dyDescent="0.25">
      <c r="A368" t="s">
        <v>434</v>
      </c>
      <c r="B368" t="s">
        <v>101</v>
      </c>
      <c r="C368">
        <v>67</v>
      </c>
      <c r="D368" t="s">
        <v>14</v>
      </c>
      <c r="E368" t="s">
        <v>55</v>
      </c>
      <c r="F368" t="s">
        <v>56</v>
      </c>
      <c r="G368" s="1">
        <v>45671</v>
      </c>
      <c r="H368" t="s">
        <v>65</v>
      </c>
      <c r="I368">
        <v>11803</v>
      </c>
      <c r="J368">
        <v>10</v>
      </c>
      <c r="K368" t="s">
        <v>18</v>
      </c>
      <c r="L368" t="s">
        <v>47</v>
      </c>
    </row>
    <row r="369" spans="1:12" x14ac:dyDescent="0.25">
      <c r="A369" t="s">
        <v>435</v>
      </c>
      <c r="B369" t="s">
        <v>92</v>
      </c>
      <c r="C369">
        <v>23</v>
      </c>
      <c r="D369" t="s">
        <v>25</v>
      </c>
      <c r="E369" t="s">
        <v>42</v>
      </c>
      <c r="F369" t="s">
        <v>43</v>
      </c>
      <c r="G369" s="1">
        <v>45683</v>
      </c>
      <c r="H369" t="s">
        <v>83</v>
      </c>
      <c r="I369">
        <v>71305</v>
      </c>
      <c r="J369">
        <v>5</v>
      </c>
      <c r="K369" t="s">
        <v>29</v>
      </c>
      <c r="L369" t="s">
        <v>19</v>
      </c>
    </row>
    <row r="370" spans="1:12" x14ac:dyDescent="0.25">
      <c r="A370" t="s">
        <v>436</v>
      </c>
      <c r="B370" t="s">
        <v>131</v>
      </c>
      <c r="C370">
        <v>37</v>
      </c>
      <c r="D370" t="s">
        <v>14</v>
      </c>
      <c r="E370" t="s">
        <v>15</v>
      </c>
      <c r="F370" t="s">
        <v>16</v>
      </c>
      <c r="G370" s="1">
        <v>45681</v>
      </c>
      <c r="H370" t="s">
        <v>17</v>
      </c>
      <c r="I370">
        <v>8589</v>
      </c>
      <c r="J370">
        <v>3</v>
      </c>
      <c r="K370" t="s">
        <v>18</v>
      </c>
      <c r="L370" t="s">
        <v>47</v>
      </c>
    </row>
    <row r="371" spans="1:12" x14ac:dyDescent="0.25">
      <c r="A371" t="s">
        <v>437</v>
      </c>
      <c r="B371" t="s">
        <v>88</v>
      </c>
      <c r="C371">
        <v>57</v>
      </c>
      <c r="D371" t="s">
        <v>25</v>
      </c>
      <c r="E371" t="s">
        <v>42</v>
      </c>
      <c r="F371" t="s">
        <v>43</v>
      </c>
      <c r="G371" s="1">
        <v>45667</v>
      </c>
      <c r="H371" t="s">
        <v>68</v>
      </c>
      <c r="I371">
        <v>16655</v>
      </c>
      <c r="J371">
        <v>0</v>
      </c>
      <c r="K371" t="s">
        <v>18</v>
      </c>
      <c r="L371" t="s">
        <v>19</v>
      </c>
    </row>
    <row r="372" spans="1:12" x14ac:dyDescent="0.25">
      <c r="A372" t="s">
        <v>438</v>
      </c>
      <c r="B372" t="s">
        <v>51</v>
      </c>
      <c r="C372">
        <v>49</v>
      </c>
      <c r="D372" t="s">
        <v>14</v>
      </c>
      <c r="E372" t="s">
        <v>42</v>
      </c>
      <c r="F372" t="s">
        <v>43</v>
      </c>
      <c r="G372" s="1">
        <v>45674</v>
      </c>
      <c r="H372" t="s">
        <v>76</v>
      </c>
      <c r="I372">
        <v>103627</v>
      </c>
      <c r="J372">
        <v>11</v>
      </c>
      <c r="K372" t="s">
        <v>29</v>
      </c>
      <c r="L372" t="s">
        <v>30</v>
      </c>
    </row>
    <row r="373" spans="1:12" x14ac:dyDescent="0.25">
      <c r="A373" t="s">
        <v>439</v>
      </c>
      <c r="B373" t="s">
        <v>62</v>
      </c>
      <c r="C373">
        <v>65</v>
      </c>
      <c r="D373" t="s">
        <v>14</v>
      </c>
      <c r="E373" t="s">
        <v>55</v>
      </c>
      <c r="F373" t="s">
        <v>56</v>
      </c>
      <c r="G373" s="1">
        <v>45681</v>
      </c>
      <c r="H373" t="s">
        <v>102</v>
      </c>
      <c r="I373">
        <v>102112</v>
      </c>
      <c r="J373">
        <v>0</v>
      </c>
      <c r="K373" t="s">
        <v>29</v>
      </c>
      <c r="L373" t="s">
        <v>47</v>
      </c>
    </row>
    <row r="374" spans="1:12" x14ac:dyDescent="0.25">
      <c r="A374" t="s">
        <v>440</v>
      </c>
      <c r="B374" t="s">
        <v>101</v>
      </c>
      <c r="C374">
        <v>22</v>
      </c>
      <c r="D374" t="s">
        <v>14</v>
      </c>
      <c r="E374" t="s">
        <v>55</v>
      </c>
      <c r="F374" t="s">
        <v>56</v>
      </c>
      <c r="G374" s="1">
        <v>45680</v>
      </c>
      <c r="H374" t="s">
        <v>107</v>
      </c>
      <c r="I374">
        <v>66031</v>
      </c>
      <c r="J374">
        <v>7</v>
      </c>
      <c r="K374" t="s">
        <v>29</v>
      </c>
      <c r="L374" t="s">
        <v>30</v>
      </c>
    </row>
    <row r="375" spans="1:12" x14ac:dyDescent="0.25">
      <c r="A375" t="s">
        <v>441</v>
      </c>
      <c r="B375" t="s">
        <v>98</v>
      </c>
      <c r="C375">
        <v>28</v>
      </c>
      <c r="D375" t="s">
        <v>14</v>
      </c>
      <c r="E375" t="s">
        <v>37</v>
      </c>
      <c r="F375" t="s">
        <v>38</v>
      </c>
      <c r="G375" s="1">
        <v>45663</v>
      </c>
      <c r="H375" t="s">
        <v>39</v>
      </c>
      <c r="I375">
        <v>102361</v>
      </c>
      <c r="J375">
        <v>1</v>
      </c>
      <c r="K375" t="s">
        <v>18</v>
      </c>
      <c r="L375" t="s">
        <v>30</v>
      </c>
    </row>
    <row r="376" spans="1:12" x14ac:dyDescent="0.25">
      <c r="A376" t="s">
        <v>442</v>
      </c>
      <c r="B376" t="s">
        <v>101</v>
      </c>
      <c r="C376">
        <v>18</v>
      </c>
      <c r="D376" t="s">
        <v>25</v>
      </c>
      <c r="E376" t="s">
        <v>15</v>
      </c>
      <c r="F376" t="s">
        <v>16</v>
      </c>
      <c r="G376" s="1">
        <v>45685</v>
      </c>
      <c r="H376" t="s">
        <v>22</v>
      </c>
      <c r="I376">
        <v>33053</v>
      </c>
      <c r="J376">
        <v>0</v>
      </c>
      <c r="K376" t="s">
        <v>29</v>
      </c>
      <c r="L376" t="s">
        <v>47</v>
      </c>
    </row>
    <row r="377" spans="1:12" x14ac:dyDescent="0.25">
      <c r="A377" t="s">
        <v>443</v>
      </c>
      <c r="B377" t="s">
        <v>62</v>
      </c>
      <c r="C377">
        <v>29</v>
      </c>
      <c r="D377" t="s">
        <v>25</v>
      </c>
      <c r="E377" t="s">
        <v>37</v>
      </c>
      <c r="F377" t="s">
        <v>38</v>
      </c>
      <c r="G377" s="1">
        <v>45675</v>
      </c>
      <c r="H377" t="s">
        <v>28</v>
      </c>
      <c r="I377">
        <v>30427</v>
      </c>
      <c r="J377">
        <v>5</v>
      </c>
      <c r="K377" t="s">
        <v>18</v>
      </c>
      <c r="L377" t="s">
        <v>47</v>
      </c>
    </row>
    <row r="378" spans="1:12" x14ac:dyDescent="0.25">
      <c r="A378" t="s">
        <v>444</v>
      </c>
      <c r="B378" t="s">
        <v>59</v>
      </c>
      <c r="C378">
        <v>35</v>
      </c>
      <c r="D378" t="s">
        <v>25</v>
      </c>
      <c r="E378" t="s">
        <v>15</v>
      </c>
      <c r="F378" t="s">
        <v>16</v>
      </c>
      <c r="G378" s="1">
        <v>45676</v>
      </c>
      <c r="H378" t="s">
        <v>44</v>
      </c>
      <c r="I378">
        <v>16650</v>
      </c>
      <c r="J378">
        <v>8</v>
      </c>
      <c r="K378" t="s">
        <v>18</v>
      </c>
      <c r="L378" t="s">
        <v>30</v>
      </c>
    </row>
    <row r="379" spans="1:12" x14ac:dyDescent="0.25">
      <c r="A379" t="s">
        <v>445</v>
      </c>
      <c r="B379" t="s">
        <v>101</v>
      </c>
      <c r="C379">
        <v>80</v>
      </c>
      <c r="D379" t="s">
        <v>25</v>
      </c>
      <c r="E379" t="s">
        <v>33</v>
      </c>
      <c r="F379" t="s">
        <v>34</v>
      </c>
      <c r="G379" s="1">
        <v>45688</v>
      </c>
      <c r="H379" t="s">
        <v>65</v>
      </c>
      <c r="I379">
        <v>10034</v>
      </c>
      <c r="J379">
        <v>7</v>
      </c>
      <c r="K379" t="s">
        <v>29</v>
      </c>
      <c r="L379" t="s">
        <v>47</v>
      </c>
    </row>
    <row r="380" spans="1:12" x14ac:dyDescent="0.25">
      <c r="A380" t="s">
        <v>446</v>
      </c>
      <c r="B380" t="s">
        <v>131</v>
      </c>
      <c r="C380">
        <v>53</v>
      </c>
      <c r="D380" t="s">
        <v>14</v>
      </c>
      <c r="E380" t="s">
        <v>55</v>
      </c>
      <c r="F380" t="s">
        <v>56</v>
      </c>
      <c r="G380" s="1">
        <v>45658</v>
      </c>
      <c r="H380" t="s">
        <v>44</v>
      </c>
      <c r="I380">
        <v>27302</v>
      </c>
      <c r="J380">
        <v>4</v>
      </c>
      <c r="K380" t="s">
        <v>29</v>
      </c>
      <c r="L380" t="s">
        <v>19</v>
      </c>
    </row>
    <row r="381" spans="1:12" x14ac:dyDescent="0.25">
      <c r="A381" t="s">
        <v>447</v>
      </c>
      <c r="B381" t="s">
        <v>46</v>
      </c>
      <c r="C381">
        <v>47</v>
      </c>
      <c r="D381" t="s">
        <v>14</v>
      </c>
      <c r="E381" t="s">
        <v>26</v>
      </c>
      <c r="F381" t="s">
        <v>27</v>
      </c>
      <c r="G381" s="1">
        <v>45676</v>
      </c>
      <c r="H381" t="s">
        <v>74</v>
      </c>
      <c r="I381">
        <v>102267</v>
      </c>
      <c r="J381">
        <v>12</v>
      </c>
      <c r="K381" t="s">
        <v>18</v>
      </c>
      <c r="L381" t="s">
        <v>19</v>
      </c>
    </row>
    <row r="382" spans="1:12" x14ac:dyDescent="0.25">
      <c r="A382" t="s">
        <v>448</v>
      </c>
      <c r="B382" t="s">
        <v>46</v>
      </c>
      <c r="C382">
        <v>27</v>
      </c>
      <c r="D382" t="s">
        <v>25</v>
      </c>
      <c r="E382" t="s">
        <v>26</v>
      </c>
      <c r="F382" t="s">
        <v>27</v>
      </c>
      <c r="G382" s="1">
        <v>45687</v>
      </c>
      <c r="H382" t="s">
        <v>28</v>
      </c>
      <c r="I382">
        <v>4133</v>
      </c>
      <c r="J382">
        <v>3</v>
      </c>
      <c r="K382" t="s">
        <v>29</v>
      </c>
      <c r="L382" t="s">
        <v>19</v>
      </c>
    </row>
    <row r="383" spans="1:12" x14ac:dyDescent="0.25">
      <c r="A383" t="s">
        <v>449</v>
      </c>
      <c r="B383" t="s">
        <v>24</v>
      </c>
      <c r="C383">
        <v>78</v>
      </c>
      <c r="D383" t="s">
        <v>14</v>
      </c>
      <c r="E383" t="s">
        <v>15</v>
      </c>
      <c r="F383" t="s">
        <v>16</v>
      </c>
      <c r="G383" s="1">
        <v>45658</v>
      </c>
      <c r="H383" t="s">
        <v>65</v>
      </c>
      <c r="I383">
        <v>112280</v>
      </c>
      <c r="J383">
        <v>11</v>
      </c>
      <c r="K383" t="s">
        <v>29</v>
      </c>
      <c r="L383" t="s">
        <v>30</v>
      </c>
    </row>
    <row r="384" spans="1:12" x14ac:dyDescent="0.25">
      <c r="A384" t="s">
        <v>450</v>
      </c>
      <c r="B384" t="s">
        <v>101</v>
      </c>
      <c r="C384">
        <v>80</v>
      </c>
      <c r="D384" t="s">
        <v>25</v>
      </c>
      <c r="E384" t="s">
        <v>33</v>
      </c>
      <c r="F384" t="s">
        <v>34</v>
      </c>
      <c r="G384" s="1">
        <v>45671</v>
      </c>
      <c r="H384" t="s">
        <v>74</v>
      </c>
      <c r="I384">
        <v>8850</v>
      </c>
      <c r="J384">
        <v>2</v>
      </c>
      <c r="K384" t="s">
        <v>29</v>
      </c>
      <c r="L384" t="s">
        <v>30</v>
      </c>
    </row>
    <row r="385" spans="1:12" x14ac:dyDescent="0.25">
      <c r="A385" t="s">
        <v>451</v>
      </c>
      <c r="B385" t="s">
        <v>46</v>
      </c>
      <c r="C385">
        <v>75</v>
      </c>
      <c r="D385" t="s">
        <v>14</v>
      </c>
      <c r="E385" t="s">
        <v>42</v>
      </c>
      <c r="F385" t="s">
        <v>43</v>
      </c>
      <c r="G385" s="1">
        <v>45680</v>
      </c>
      <c r="H385" t="s">
        <v>44</v>
      </c>
      <c r="I385">
        <v>61091</v>
      </c>
      <c r="J385">
        <v>11</v>
      </c>
      <c r="K385" t="s">
        <v>18</v>
      </c>
      <c r="L385" t="s">
        <v>19</v>
      </c>
    </row>
    <row r="386" spans="1:12" x14ac:dyDescent="0.25">
      <c r="A386" t="s">
        <v>452</v>
      </c>
      <c r="B386" t="s">
        <v>101</v>
      </c>
      <c r="C386">
        <v>26</v>
      </c>
      <c r="D386" t="s">
        <v>14</v>
      </c>
      <c r="E386" t="s">
        <v>42</v>
      </c>
      <c r="F386" t="s">
        <v>43</v>
      </c>
      <c r="G386" s="1">
        <v>45660</v>
      </c>
      <c r="H386" t="s">
        <v>63</v>
      </c>
      <c r="I386">
        <v>58014</v>
      </c>
      <c r="J386">
        <v>10</v>
      </c>
      <c r="K386" t="s">
        <v>18</v>
      </c>
      <c r="L386" t="s">
        <v>30</v>
      </c>
    </row>
    <row r="387" spans="1:12" x14ac:dyDescent="0.25">
      <c r="A387" t="s">
        <v>453</v>
      </c>
      <c r="B387" t="s">
        <v>82</v>
      </c>
      <c r="C387">
        <v>72</v>
      </c>
      <c r="D387" t="s">
        <v>14</v>
      </c>
      <c r="E387" t="s">
        <v>55</v>
      </c>
      <c r="F387" t="s">
        <v>56</v>
      </c>
      <c r="G387" s="1">
        <v>45687</v>
      </c>
      <c r="H387" t="s">
        <v>65</v>
      </c>
      <c r="I387">
        <v>92845</v>
      </c>
      <c r="J387">
        <v>11</v>
      </c>
      <c r="K387" t="s">
        <v>29</v>
      </c>
      <c r="L387" t="s">
        <v>47</v>
      </c>
    </row>
    <row r="388" spans="1:12" x14ac:dyDescent="0.25">
      <c r="A388" t="s">
        <v>454</v>
      </c>
      <c r="B388" t="s">
        <v>82</v>
      </c>
      <c r="C388">
        <v>32</v>
      </c>
      <c r="D388" t="s">
        <v>25</v>
      </c>
      <c r="E388" t="s">
        <v>37</v>
      </c>
      <c r="F388" t="s">
        <v>38</v>
      </c>
      <c r="G388" s="1">
        <v>45688</v>
      </c>
      <c r="H388" t="s">
        <v>35</v>
      </c>
      <c r="I388">
        <v>18840</v>
      </c>
      <c r="J388">
        <v>12</v>
      </c>
      <c r="K388" t="s">
        <v>18</v>
      </c>
      <c r="L388" t="s">
        <v>30</v>
      </c>
    </row>
    <row r="389" spans="1:12" x14ac:dyDescent="0.25">
      <c r="A389" t="s">
        <v>455</v>
      </c>
      <c r="B389" t="s">
        <v>51</v>
      </c>
      <c r="C389">
        <v>46</v>
      </c>
      <c r="D389" t="s">
        <v>14</v>
      </c>
      <c r="E389" t="s">
        <v>42</v>
      </c>
      <c r="F389" t="s">
        <v>43</v>
      </c>
      <c r="G389" s="1">
        <v>45668</v>
      </c>
      <c r="H389" t="s">
        <v>28</v>
      </c>
      <c r="I389">
        <v>16825</v>
      </c>
      <c r="J389">
        <v>8</v>
      </c>
      <c r="K389" t="s">
        <v>29</v>
      </c>
      <c r="L389" t="s">
        <v>30</v>
      </c>
    </row>
    <row r="390" spans="1:12" x14ac:dyDescent="0.25">
      <c r="A390" t="s">
        <v>456</v>
      </c>
      <c r="B390" t="s">
        <v>92</v>
      </c>
      <c r="C390">
        <v>47</v>
      </c>
      <c r="D390" t="s">
        <v>14</v>
      </c>
      <c r="E390" t="s">
        <v>37</v>
      </c>
      <c r="F390" t="s">
        <v>38</v>
      </c>
      <c r="G390" s="1">
        <v>45685</v>
      </c>
      <c r="H390" t="s">
        <v>102</v>
      </c>
      <c r="I390">
        <v>12851</v>
      </c>
      <c r="J390">
        <v>2</v>
      </c>
      <c r="K390" t="s">
        <v>29</v>
      </c>
      <c r="L390" t="s">
        <v>19</v>
      </c>
    </row>
    <row r="391" spans="1:12" x14ac:dyDescent="0.25">
      <c r="A391" t="s">
        <v>457</v>
      </c>
      <c r="B391" t="s">
        <v>70</v>
      </c>
      <c r="C391">
        <v>20</v>
      </c>
      <c r="D391" t="s">
        <v>25</v>
      </c>
      <c r="E391" t="s">
        <v>15</v>
      </c>
      <c r="F391" t="s">
        <v>16</v>
      </c>
      <c r="G391" s="1">
        <v>45684</v>
      </c>
      <c r="H391" t="s">
        <v>57</v>
      </c>
      <c r="I391">
        <v>20441</v>
      </c>
      <c r="J391">
        <v>1</v>
      </c>
      <c r="K391" t="s">
        <v>18</v>
      </c>
      <c r="L391" t="s">
        <v>47</v>
      </c>
    </row>
    <row r="392" spans="1:12" x14ac:dyDescent="0.25">
      <c r="A392" t="s">
        <v>458</v>
      </c>
      <c r="B392" t="s">
        <v>101</v>
      </c>
      <c r="C392">
        <v>21</v>
      </c>
      <c r="D392" t="s">
        <v>14</v>
      </c>
      <c r="E392" t="s">
        <v>37</v>
      </c>
      <c r="F392" t="s">
        <v>38</v>
      </c>
      <c r="G392" s="1">
        <v>45666</v>
      </c>
      <c r="H392" t="s">
        <v>68</v>
      </c>
      <c r="I392">
        <v>5073</v>
      </c>
      <c r="J392">
        <v>6</v>
      </c>
      <c r="K392" t="s">
        <v>29</v>
      </c>
      <c r="L392" t="s">
        <v>19</v>
      </c>
    </row>
    <row r="393" spans="1:12" x14ac:dyDescent="0.25">
      <c r="A393" t="s">
        <v>459</v>
      </c>
      <c r="B393" t="s">
        <v>21</v>
      </c>
      <c r="C393">
        <v>33</v>
      </c>
      <c r="D393" t="s">
        <v>25</v>
      </c>
      <c r="E393" t="s">
        <v>15</v>
      </c>
      <c r="F393" t="s">
        <v>16</v>
      </c>
      <c r="G393" s="1">
        <v>45672</v>
      </c>
      <c r="H393" t="s">
        <v>102</v>
      </c>
      <c r="I393">
        <v>106368</v>
      </c>
      <c r="J393">
        <v>12</v>
      </c>
      <c r="K393" t="s">
        <v>18</v>
      </c>
      <c r="L393" t="s">
        <v>30</v>
      </c>
    </row>
    <row r="394" spans="1:12" x14ac:dyDescent="0.25">
      <c r="A394" t="s">
        <v>460</v>
      </c>
      <c r="B394" t="s">
        <v>54</v>
      </c>
      <c r="C394">
        <v>71</v>
      </c>
      <c r="D394" t="s">
        <v>25</v>
      </c>
      <c r="E394" t="s">
        <v>42</v>
      </c>
      <c r="F394" t="s">
        <v>43</v>
      </c>
      <c r="G394" s="1">
        <v>45662</v>
      </c>
      <c r="H394" t="s">
        <v>35</v>
      </c>
      <c r="I394">
        <v>108960</v>
      </c>
      <c r="J394">
        <v>6</v>
      </c>
      <c r="K394" t="s">
        <v>29</v>
      </c>
      <c r="L394" t="s">
        <v>19</v>
      </c>
    </row>
    <row r="395" spans="1:12" x14ac:dyDescent="0.25">
      <c r="A395" t="s">
        <v>461</v>
      </c>
      <c r="B395" t="s">
        <v>131</v>
      </c>
      <c r="C395">
        <v>55</v>
      </c>
      <c r="D395" t="s">
        <v>14</v>
      </c>
      <c r="E395" t="s">
        <v>15</v>
      </c>
      <c r="F395" t="s">
        <v>16</v>
      </c>
      <c r="G395" s="1">
        <v>45687</v>
      </c>
      <c r="H395" t="s">
        <v>107</v>
      </c>
      <c r="I395">
        <v>3857</v>
      </c>
      <c r="J395">
        <v>1</v>
      </c>
      <c r="K395" t="s">
        <v>18</v>
      </c>
      <c r="L395" t="s">
        <v>19</v>
      </c>
    </row>
    <row r="396" spans="1:12" x14ac:dyDescent="0.25">
      <c r="A396" t="s">
        <v>462</v>
      </c>
      <c r="B396" t="s">
        <v>62</v>
      </c>
      <c r="C396">
        <v>23</v>
      </c>
      <c r="D396" t="s">
        <v>14</v>
      </c>
      <c r="E396" t="s">
        <v>37</v>
      </c>
      <c r="F396" t="s">
        <v>38</v>
      </c>
      <c r="G396" s="1">
        <v>45661</v>
      </c>
      <c r="H396" t="s">
        <v>63</v>
      </c>
      <c r="I396">
        <v>61423</v>
      </c>
      <c r="J396">
        <v>0</v>
      </c>
      <c r="K396" t="s">
        <v>18</v>
      </c>
      <c r="L396" t="s">
        <v>19</v>
      </c>
    </row>
    <row r="397" spans="1:12" x14ac:dyDescent="0.25">
      <c r="A397" t="s">
        <v>463</v>
      </c>
      <c r="B397" t="s">
        <v>41</v>
      </c>
      <c r="C397">
        <v>49</v>
      </c>
      <c r="D397" t="s">
        <v>25</v>
      </c>
      <c r="E397" t="s">
        <v>37</v>
      </c>
      <c r="F397" t="s">
        <v>38</v>
      </c>
      <c r="G397" s="1">
        <v>45670</v>
      </c>
      <c r="H397" t="s">
        <v>28</v>
      </c>
      <c r="I397">
        <v>23650</v>
      </c>
      <c r="J397">
        <v>5</v>
      </c>
      <c r="K397" t="s">
        <v>18</v>
      </c>
      <c r="L397" t="s">
        <v>30</v>
      </c>
    </row>
    <row r="398" spans="1:12" x14ac:dyDescent="0.25">
      <c r="A398" t="s">
        <v>464</v>
      </c>
      <c r="B398" t="s">
        <v>82</v>
      </c>
      <c r="C398">
        <v>46</v>
      </c>
      <c r="D398" t="s">
        <v>25</v>
      </c>
      <c r="E398" t="s">
        <v>55</v>
      </c>
      <c r="F398" t="s">
        <v>56</v>
      </c>
      <c r="G398" s="1">
        <v>45659</v>
      </c>
      <c r="H398" t="s">
        <v>17</v>
      </c>
      <c r="I398">
        <v>85840</v>
      </c>
      <c r="J398">
        <v>4</v>
      </c>
      <c r="K398" t="s">
        <v>29</v>
      </c>
      <c r="L398" t="s">
        <v>47</v>
      </c>
    </row>
    <row r="399" spans="1:12" x14ac:dyDescent="0.25">
      <c r="A399" t="s">
        <v>465</v>
      </c>
      <c r="B399" t="s">
        <v>72</v>
      </c>
      <c r="C399">
        <v>21</v>
      </c>
      <c r="D399" t="s">
        <v>25</v>
      </c>
      <c r="E399" t="s">
        <v>26</v>
      </c>
      <c r="F399" t="s">
        <v>27</v>
      </c>
      <c r="G399" s="1">
        <v>45666</v>
      </c>
      <c r="H399" t="s">
        <v>65</v>
      </c>
      <c r="I399">
        <v>18987</v>
      </c>
      <c r="J399">
        <v>6</v>
      </c>
      <c r="K399" t="s">
        <v>18</v>
      </c>
      <c r="L399" t="s">
        <v>19</v>
      </c>
    </row>
    <row r="400" spans="1:12" x14ac:dyDescent="0.25">
      <c r="A400" t="s">
        <v>466</v>
      </c>
      <c r="B400" t="s">
        <v>46</v>
      </c>
      <c r="C400">
        <v>58</v>
      </c>
      <c r="D400" t="s">
        <v>25</v>
      </c>
      <c r="E400" t="s">
        <v>26</v>
      </c>
      <c r="F400" t="s">
        <v>27</v>
      </c>
      <c r="G400" s="1">
        <v>45670</v>
      </c>
      <c r="H400" t="s">
        <v>44</v>
      </c>
      <c r="I400">
        <v>63873</v>
      </c>
      <c r="J400">
        <v>8</v>
      </c>
      <c r="K400" t="s">
        <v>29</v>
      </c>
      <c r="L400" t="s">
        <v>47</v>
      </c>
    </row>
    <row r="401" spans="1:12" x14ac:dyDescent="0.25">
      <c r="A401" t="s">
        <v>467</v>
      </c>
      <c r="B401" t="s">
        <v>101</v>
      </c>
      <c r="C401">
        <v>38</v>
      </c>
      <c r="D401" t="s">
        <v>14</v>
      </c>
      <c r="E401" t="s">
        <v>26</v>
      </c>
      <c r="F401" t="s">
        <v>27</v>
      </c>
      <c r="G401" s="1">
        <v>45666</v>
      </c>
      <c r="H401" t="s">
        <v>68</v>
      </c>
      <c r="I401">
        <v>4416</v>
      </c>
      <c r="J401">
        <v>5</v>
      </c>
      <c r="K401" t="s">
        <v>18</v>
      </c>
      <c r="L401" t="s">
        <v>30</v>
      </c>
    </row>
    <row r="402" spans="1:12" x14ac:dyDescent="0.25">
      <c r="A402" t="s">
        <v>468</v>
      </c>
      <c r="B402" t="s">
        <v>54</v>
      </c>
      <c r="C402">
        <v>69</v>
      </c>
      <c r="D402" t="s">
        <v>14</v>
      </c>
      <c r="E402" t="s">
        <v>55</v>
      </c>
      <c r="F402" t="s">
        <v>56</v>
      </c>
      <c r="G402" s="1">
        <v>45674</v>
      </c>
      <c r="H402" t="s">
        <v>44</v>
      </c>
      <c r="I402">
        <v>101511</v>
      </c>
      <c r="J402">
        <v>9</v>
      </c>
      <c r="K402" t="s">
        <v>18</v>
      </c>
      <c r="L402" t="s">
        <v>30</v>
      </c>
    </row>
    <row r="403" spans="1:12" x14ac:dyDescent="0.25">
      <c r="A403" t="s">
        <v>469</v>
      </c>
      <c r="B403" t="s">
        <v>46</v>
      </c>
      <c r="C403">
        <v>60</v>
      </c>
      <c r="D403" t="s">
        <v>25</v>
      </c>
      <c r="E403" t="s">
        <v>42</v>
      </c>
      <c r="F403" t="s">
        <v>43</v>
      </c>
      <c r="G403" s="1">
        <v>45666</v>
      </c>
      <c r="H403" t="s">
        <v>63</v>
      </c>
      <c r="I403">
        <v>101145</v>
      </c>
      <c r="J403">
        <v>3</v>
      </c>
      <c r="K403" t="s">
        <v>29</v>
      </c>
      <c r="L403" t="s">
        <v>47</v>
      </c>
    </row>
    <row r="404" spans="1:12" x14ac:dyDescent="0.25">
      <c r="A404" t="s">
        <v>470</v>
      </c>
      <c r="B404" t="s">
        <v>51</v>
      </c>
      <c r="C404">
        <v>33</v>
      </c>
      <c r="D404" t="s">
        <v>14</v>
      </c>
      <c r="E404" t="s">
        <v>33</v>
      </c>
      <c r="F404" t="s">
        <v>34</v>
      </c>
      <c r="G404" s="1">
        <v>45683</v>
      </c>
      <c r="H404" t="s">
        <v>44</v>
      </c>
      <c r="I404">
        <v>78537</v>
      </c>
      <c r="J404">
        <v>0</v>
      </c>
      <c r="K404" t="s">
        <v>29</v>
      </c>
      <c r="L404" t="s">
        <v>19</v>
      </c>
    </row>
    <row r="405" spans="1:12" x14ac:dyDescent="0.25">
      <c r="A405" t="s">
        <v>471</v>
      </c>
      <c r="B405" t="s">
        <v>62</v>
      </c>
      <c r="C405">
        <v>54</v>
      </c>
      <c r="D405" t="s">
        <v>25</v>
      </c>
      <c r="E405" t="s">
        <v>26</v>
      </c>
      <c r="F405" t="s">
        <v>27</v>
      </c>
      <c r="G405" s="1">
        <v>45684</v>
      </c>
      <c r="H405" t="s">
        <v>74</v>
      </c>
      <c r="I405">
        <v>72057</v>
      </c>
      <c r="J405">
        <v>4</v>
      </c>
      <c r="K405" t="s">
        <v>18</v>
      </c>
      <c r="L405" t="s">
        <v>47</v>
      </c>
    </row>
    <row r="406" spans="1:12" x14ac:dyDescent="0.25">
      <c r="A406" t="s">
        <v>472</v>
      </c>
      <c r="B406" t="s">
        <v>131</v>
      </c>
      <c r="C406">
        <v>21</v>
      </c>
      <c r="D406" t="s">
        <v>25</v>
      </c>
      <c r="E406" t="s">
        <v>42</v>
      </c>
      <c r="F406" t="s">
        <v>43</v>
      </c>
      <c r="G406" s="1">
        <v>45677</v>
      </c>
      <c r="H406" t="s">
        <v>17</v>
      </c>
      <c r="I406">
        <v>3612</v>
      </c>
      <c r="J406">
        <v>8</v>
      </c>
      <c r="K406" t="s">
        <v>29</v>
      </c>
      <c r="L406" t="s">
        <v>30</v>
      </c>
    </row>
    <row r="407" spans="1:12" x14ac:dyDescent="0.25">
      <c r="A407" t="s">
        <v>473</v>
      </c>
      <c r="B407" t="s">
        <v>70</v>
      </c>
      <c r="C407">
        <v>30</v>
      </c>
      <c r="D407" t="s">
        <v>25</v>
      </c>
      <c r="E407" t="s">
        <v>55</v>
      </c>
      <c r="F407" t="s">
        <v>56</v>
      </c>
      <c r="G407" s="1">
        <v>45668</v>
      </c>
      <c r="H407" t="s">
        <v>68</v>
      </c>
      <c r="I407">
        <v>106175</v>
      </c>
      <c r="J407">
        <v>5</v>
      </c>
      <c r="K407" t="s">
        <v>18</v>
      </c>
      <c r="L407" t="s">
        <v>30</v>
      </c>
    </row>
    <row r="408" spans="1:12" x14ac:dyDescent="0.25">
      <c r="A408" t="s">
        <v>474</v>
      </c>
      <c r="B408" t="s">
        <v>98</v>
      </c>
      <c r="C408">
        <v>63</v>
      </c>
      <c r="D408" t="s">
        <v>25</v>
      </c>
      <c r="E408" t="s">
        <v>33</v>
      </c>
      <c r="F408" t="s">
        <v>34</v>
      </c>
      <c r="G408" s="1">
        <v>45682</v>
      </c>
      <c r="H408" t="s">
        <v>102</v>
      </c>
      <c r="I408">
        <v>111949</v>
      </c>
      <c r="J408">
        <v>8</v>
      </c>
      <c r="K408" t="s">
        <v>29</v>
      </c>
      <c r="L408" t="s">
        <v>30</v>
      </c>
    </row>
    <row r="409" spans="1:12" x14ac:dyDescent="0.25">
      <c r="A409" t="s">
        <v>475</v>
      </c>
      <c r="B409" t="s">
        <v>41</v>
      </c>
      <c r="C409">
        <v>55</v>
      </c>
      <c r="D409" t="s">
        <v>25</v>
      </c>
      <c r="E409" t="s">
        <v>55</v>
      </c>
      <c r="F409" t="s">
        <v>56</v>
      </c>
      <c r="G409" s="1">
        <v>45668</v>
      </c>
      <c r="H409" t="s">
        <v>119</v>
      </c>
      <c r="I409">
        <v>43284</v>
      </c>
      <c r="J409">
        <v>2</v>
      </c>
      <c r="K409" t="s">
        <v>18</v>
      </c>
      <c r="L409" t="s">
        <v>19</v>
      </c>
    </row>
    <row r="410" spans="1:12" x14ac:dyDescent="0.25">
      <c r="A410" t="s">
        <v>476</v>
      </c>
      <c r="B410" t="s">
        <v>72</v>
      </c>
      <c r="C410">
        <v>59</v>
      </c>
      <c r="D410" t="s">
        <v>14</v>
      </c>
      <c r="E410" t="s">
        <v>37</v>
      </c>
      <c r="F410" t="s">
        <v>38</v>
      </c>
      <c r="G410" s="1">
        <v>45663</v>
      </c>
      <c r="H410" t="s">
        <v>44</v>
      </c>
      <c r="I410">
        <v>30260</v>
      </c>
      <c r="J410">
        <v>10</v>
      </c>
      <c r="K410" t="s">
        <v>18</v>
      </c>
      <c r="L410" t="s">
        <v>47</v>
      </c>
    </row>
    <row r="411" spans="1:12" x14ac:dyDescent="0.25">
      <c r="A411" t="s">
        <v>477</v>
      </c>
      <c r="B411" t="s">
        <v>92</v>
      </c>
      <c r="C411">
        <v>26</v>
      </c>
      <c r="D411" t="s">
        <v>25</v>
      </c>
      <c r="E411" t="s">
        <v>55</v>
      </c>
      <c r="F411" t="s">
        <v>56</v>
      </c>
      <c r="G411" s="1">
        <v>45681</v>
      </c>
      <c r="H411" t="s">
        <v>22</v>
      </c>
      <c r="I411">
        <v>93013</v>
      </c>
      <c r="J411">
        <v>9</v>
      </c>
      <c r="K411" t="s">
        <v>29</v>
      </c>
      <c r="L411" t="s">
        <v>19</v>
      </c>
    </row>
    <row r="412" spans="1:12" x14ac:dyDescent="0.25">
      <c r="A412" t="s">
        <v>478</v>
      </c>
      <c r="B412" t="s">
        <v>51</v>
      </c>
      <c r="C412">
        <v>56</v>
      </c>
      <c r="D412" t="s">
        <v>14</v>
      </c>
      <c r="E412" t="s">
        <v>42</v>
      </c>
      <c r="F412" t="s">
        <v>43</v>
      </c>
      <c r="G412" s="1">
        <v>45687</v>
      </c>
      <c r="H412" t="s">
        <v>17</v>
      </c>
      <c r="I412">
        <v>84839</v>
      </c>
      <c r="J412">
        <v>9</v>
      </c>
      <c r="K412" t="s">
        <v>18</v>
      </c>
      <c r="L412" t="s">
        <v>47</v>
      </c>
    </row>
    <row r="413" spans="1:12" x14ac:dyDescent="0.25">
      <c r="A413" t="s">
        <v>479</v>
      </c>
      <c r="B413" t="s">
        <v>59</v>
      </c>
      <c r="C413">
        <v>65</v>
      </c>
      <c r="D413" t="s">
        <v>25</v>
      </c>
      <c r="E413" t="s">
        <v>33</v>
      </c>
      <c r="F413" t="s">
        <v>34</v>
      </c>
      <c r="G413" s="1">
        <v>45665</v>
      </c>
      <c r="H413" t="s">
        <v>44</v>
      </c>
      <c r="I413">
        <v>42879</v>
      </c>
      <c r="J413">
        <v>2</v>
      </c>
      <c r="K413" t="s">
        <v>18</v>
      </c>
      <c r="L413" t="s">
        <v>19</v>
      </c>
    </row>
    <row r="414" spans="1:12" x14ac:dyDescent="0.25">
      <c r="A414" t="s">
        <v>480</v>
      </c>
      <c r="B414" t="s">
        <v>59</v>
      </c>
      <c r="C414">
        <v>46</v>
      </c>
      <c r="D414" t="s">
        <v>25</v>
      </c>
      <c r="E414" t="s">
        <v>15</v>
      </c>
      <c r="F414" t="s">
        <v>16</v>
      </c>
      <c r="G414" s="1">
        <v>45666</v>
      </c>
      <c r="H414" t="s">
        <v>35</v>
      </c>
      <c r="I414">
        <v>33707</v>
      </c>
      <c r="J414">
        <v>11</v>
      </c>
      <c r="K414" t="s">
        <v>18</v>
      </c>
      <c r="L414" t="s">
        <v>47</v>
      </c>
    </row>
    <row r="415" spans="1:12" x14ac:dyDescent="0.25">
      <c r="A415" t="s">
        <v>481</v>
      </c>
      <c r="B415" t="s">
        <v>13</v>
      </c>
      <c r="C415">
        <v>64</v>
      </c>
      <c r="D415" t="s">
        <v>25</v>
      </c>
      <c r="E415" t="s">
        <v>55</v>
      </c>
      <c r="F415" t="s">
        <v>56</v>
      </c>
      <c r="G415" s="1">
        <v>45659</v>
      </c>
      <c r="H415" t="s">
        <v>65</v>
      </c>
      <c r="I415">
        <v>58438</v>
      </c>
      <c r="J415">
        <v>11</v>
      </c>
      <c r="K415" t="s">
        <v>29</v>
      </c>
      <c r="L415" t="s">
        <v>30</v>
      </c>
    </row>
    <row r="416" spans="1:12" x14ac:dyDescent="0.25">
      <c r="A416" t="s">
        <v>482</v>
      </c>
      <c r="B416" t="s">
        <v>72</v>
      </c>
      <c r="C416">
        <v>74</v>
      </c>
      <c r="D416" t="s">
        <v>14</v>
      </c>
      <c r="E416" t="s">
        <v>37</v>
      </c>
      <c r="F416" t="s">
        <v>38</v>
      </c>
      <c r="G416" s="1">
        <v>45669</v>
      </c>
      <c r="H416" t="s">
        <v>65</v>
      </c>
      <c r="I416">
        <v>14294</v>
      </c>
      <c r="J416">
        <v>7</v>
      </c>
      <c r="K416" t="s">
        <v>18</v>
      </c>
      <c r="L416" t="s">
        <v>30</v>
      </c>
    </row>
    <row r="417" spans="1:12" x14ac:dyDescent="0.25">
      <c r="A417" t="s">
        <v>483</v>
      </c>
      <c r="B417" t="s">
        <v>131</v>
      </c>
      <c r="C417">
        <v>69</v>
      </c>
      <c r="D417" t="s">
        <v>25</v>
      </c>
      <c r="E417" t="s">
        <v>37</v>
      </c>
      <c r="F417" t="s">
        <v>38</v>
      </c>
      <c r="G417" s="1">
        <v>45667</v>
      </c>
      <c r="H417" t="s">
        <v>22</v>
      </c>
      <c r="I417">
        <v>42774</v>
      </c>
      <c r="J417">
        <v>4</v>
      </c>
      <c r="K417" t="s">
        <v>18</v>
      </c>
      <c r="L417" t="s">
        <v>30</v>
      </c>
    </row>
    <row r="418" spans="1:12" x14ac:dyDescent="0.25">
      <c r="A418" t="s">
        <v>484</v>
      </c>
      <c r="B418" t="s">
        <v>51</v>
      </c>
      <c r="C418">
        <v>74</v>
      </c>
      <c r="D418" t="s">
        <v>14</v>
      </c>
      <c r="E418" t="s">
        <v>55</v>
      </c>
      <c r="F418" t="s">
        <v>56</v>
      </c>
      <c r="G418" s="1">
        <v>45663</v>
      </c>
      <c r="H418" t="s">
        <v>107</v>
      </c>
      <c r="I418">
        <v>72702</v>
      </c>
      <c r="J418">
        <v>1</v>
      </c>
      <c r="K418" t="s">
        <v>29</v>
      </c>
      <c r="L418" t="s">
        <v>19</v>
      </c>
    </row>
    <row r="419" spans="1:12" x14ac:dyDescent="0.25">
      <c r="A419" t="s">
        <v>485</v>
      </c>
      <c r="B419" t="s">
        <v>72</v>
      </c>
      <c r="C419">
        <v>63</v>
      </c>
      <c r="D419" t="s">
        <v>25</v>
      </c>
      <c r="E419" t="s">
        <v>26</v>
      </c>
      <c r="F419" t="s">
        <v>27</v>
      </c>
      <c r="G419" s="1">
        <v>45671</v>
      </c>
      <c r="H419" t="s">
        <v>68</v>
      </c>
      <c r="I419">
        <v>80602</v>
      </c>
      <c r="J419">
        <v>6</v>
      </c>
      <c r="K419" t="s">
        <v>18</v>
      </c>
      <c r="L419" t="s">
        <v>30</v>
      </c>
    </row>
    <row r="420" spans="1:12" x14ac:dyDescent="0.25">
      <c r="A420" t="s">
        <v>486</v>
      </c>
      <c r="B420" t="s">
        <v>59</v>
      </c>
      <c r="C420">
        <v>31</v>
      </c>
      <c r="D420" t="s">
        <v>25</v>
      </c>
      <c r="E420" t="s">
        <v>42</v>
      </c>
      <c r="F420" t="s">
        <v>43</v>
      </c>
      <c r="G420" s="1">
        <v>45671</v>
      </c>
      <c r="H420" t="s">
        <v>39</v>
      </c>
      <c r="I420">
        <v>87585</v>
      </c>
      <c r="J420">
        <v>4</v>
      </c>
      <c r="K420" t="s">
        <v>29</v>
      </c>
      <c r="L420" t="s">
        <v>30</v>
      </c>
    </row>
    <row r="421" spans="1:12" x14ac:dyDescent="0.25">
      <c r="A421" t="s">
        <v>487</v>
      </c>
      <c r="B421" t="s">
        <v>54</v>
      </c>
      <c r="C421">
        <v>43</v>
      </c>
      <c r="D421" t="s">
        <v>14</v>
      </c>
      <c r="E421" t="s">
        <v>42</v>
      </c>
      <c r="F421" t="s">
        <v>43</v>
      </c>
      <c r="G421" s="1">
        <v>45662</v>
      </c>
      <c r="H421" t="s">
        <v>63</v>
      </c>
      <c r="I421">
        <v>48294</v>
      </c>
      <c r="J421">
        <v>0</v>
      </c>
      <c r="K421" t="s">
        <v>29</v>
      </c>
      <c r="L421" t="s">
        <v>30</v>
      </c>
    </row>
    <row r="422" spans="1:12" x14ac:dyDescent="0.25">
      <c r="A422" t="s">
        <v>488</v>
      </c>
      <c r="B422" t="s">
        <v>70</v>
      </c>
      <c r="C422">
        <v>48</v>
      </c>
      <c r="D422" t="s">
        <v>25</v>
      </c>
      <c r="E422" t="s">
        <v>55</v>
      </c>
      <c r="F422" t="s">
        <v>56</v>
      </c>
      <c r="G422" s="1">
        <v>45661</v>
      </c>
      <c r="H422" t="s">
        <v>22</v>
      </c>
      <c r="I422">
        <v>28125</v>
      </c>
      <c r="J422">
        <v>2</v>
      </c>
      <c r="K422" t="s">
        <v>29</v>
      </c>
      <c r="L422" t="s">
        <v>30</v>
      </c>
    </row>
    <row r="423" spans="1:12" x14ac:dyDescent="0.25">
      <c r="A423" t="s">
        <v>489</v>
      </c>
      <c r="B423" t="s">
        <v>13</v>
      </c>
      <c r="C423">
        <v>37</v>
      </c>
      <c r="D423" t="s">
        <v>14</v>
      </c>
      <c r="E423" t="s">
        <v>37</v>
      </c>
      <c r="F423" t="s">
        <v>38</v>
      </c>
      <c r="G423" s="1">
        <v>45673</v>
      </c>
      <c r="H423" t="s">
        <v>74</v>
      </c>
      <c r="I423">
        <v>118293</v>
      </c>
      <c r="J423">
        <v>10</v>
      </c>
      <c r="K423" t="s">
        <v>29</v>
      </c>
      <c r="L423" t="s">
        <v>30</v>
      </c>
    </row>
    <row r="424" spans="1:12" x14ac:dyDescent="0.25">
      <c r="A424" t="s">
        <v>490</v>
      </c>
      <c r="B424" t="s">
        <v>21</v>
      </c>
      <c r="C424">
        <v>42</v>
      </c>
      <c r="D424" t="s">
        <v>25</v>
      </c>
      <c r="E424" t="s">
        <v>15</v>
      </c>
      <c r="F424" t="s">
        <v>16</v>
      </c>
      <c r="G424" s="1">
        <v>45669</v>
      </c>
      <c r="H424" t="s">
        <v>65</v>
      </c>
      <c r="I424">
        <v>49418</v>
      </c>
      <c r="J424">
        <v>2</v>
      </c>
      <c r="K424" t="s">
        <v>29</v>
      </c>
      <c r="L424" t="s">
        <v>30</v>
      </c>
    </row>
    <row r="425" spans="1:12" x14ac:dyDescent="0.25">
      <c r="A425" t="s">
        <v>491</v>
      </c>
      <c r="B425" t="s">
        <v>88</v>
      </c>
      <c r="C425">
        <v>47</v>
      </c>
      <c r="D425" t="s">
        <v>14</v>
      </c>
      <c r="E425" t="s">
        <v>55</v>
      </c>
      <c r="F425" t="s">
        <v>56</v>
      </c>
      <c r="G425" s="1">
        <v>45665</v>
      </c>
      <c r="H425" t="s">
        <v>39</v>
      </c>
      <c r="I425">
        <v>74956</v>
      </c>
      <c r="J425">
        <v>0</v>
      </c>
      <c r="K425" t="s">
        <v>18</v>
      </c>
      <c r="L425" t="s">
        <v>19</v>
      </c>
    </row>
    <row r="426" spans="1:12" x14ac:dyDescent="0.25">
      <c r="A426" t="s">
        <v>492</v>
      </c>
      <c r="B426" t="s">
        <v>13</v>
      </c>
      <c r="C426">
        <v>23</v>
      </c>
      <c r="D426" t="s">
        <v>14</v>
      </c>
      <c r="E426" t="s">
        <v>15</v>
      </c>
      <c r="F426" t="s">
        <v>16</v>
      </c>
      <c r="G426" s="1">
        <v>45683</v>
      </c>
      <c r="H426" t="s">
        <v>28</v>
      </c>
      <c r="I426">
        <v>100150</v>
      </c>
      <c r="J426">
        <v>9</v>
      </c>
      <c r="K426" t="s">
        <v>18</v>
      </c>
      <c r="L426" t="s">
        <v>19</v>
      </c>
    </row>
    <row r="427" spans="1:12" x14ac:dyDescent="0.25">
      <c r="A427" t="s">
        <v>493</v>
      </c>
      <c r="B427" t="s">
        <v>41</v>
      </c>
      <c r="C427">
        <v>70</v>
      </c>
      <c r="D427" t="s">
        <v>14</v>
      </c>
      <c r="E427" t="s">
        <v>42</v>
      </c>
      <c r="F427" t="s">
        <v>43</v>
      </c>
      <c r="G427" s="1">
        <v>45688</v>
      </c>
      <c r="H427" t="s">
        <v>74</v>
      </c>
      <c r="I427">
        <v>76066</v>
      </c>
      <c r="J427">
        <v>3</v>
      </c>
      <c r="K427" t="s">
        <v>29</v>
      </c>
      <c r="L427" t="s">
        <v>47</v>
      </c>
    </row>
    <row r="428" spans="1:12" x14ac:dyDescent="0.25">
      <c r="A428" t="s">
        <v>494</v>
      </c>
      <c r="B428" t="s">
        <v>41</v>
      </c>
      <c r="C428">
        <v>75</v>
      </c>
      <c r="D428" t="s">
        <v>25</v>
      </c>
      <c r="E428" t="s">
        <v>42</v>
      </c>
      <c r="F428" t="s">
        <v>43</v>
      </c>
      <c r="G428" s="1">
        <v>45674</v>
      </c>
      <c r="H428" t="s">
        <v>76</v>
      </c>
      <c r="I428">
        <v>105916</v>
      </c>
      <c r="J428">
        <v>9</v>
      </c>
      <c r="K428" t="s">
        <v>18</v>
      </c>
      <c r="L428" t="s">
        <v>30</v>
      </c>
    </row>
    <row r="429" spans="1:12" x14ac:dyDescent="0.25">
      <c r="A429" t="s">
        <v>495</v>
      </c>
      <c r="B429" t="s">
        <v>51</v>
      </c>
      <c r="C429">
        <v>78</v>
      </c>
      <c r="D429" t="s">
        <v>25</v>
      </c>
      <c r="E429" t="s">
        <v>37</v>
      </c>
      <c r="F429" t="s">
        <v>38</v>
      </c>
      <c r="G429" s="1">
        <v>45664</v>
      </c>
      <c r="H429" t="s">
        <v>35</v>
      </c>
      <c r="I429">
        <v>17539</v>
      </c>
      <c r="J429">
        <v>0</v>
      </c>
      <c r="K429" t="s">
        <v>29</v>
      </c>
      <c r="L429" t="s">
        <v>30</v>
      </c>
    </row>
    <row r="430" spans="1:12" x14ac:dyDescent="0.25">
      <c r="A430" t="s">
        <v>496</v>
      </c>
      <c r="B430" t="s">
        <v>32</v>
      </c>
      <c r="C430">
        <v>30</v>
      </c>
      <c r="D430" t="s">
        <v>25</v>
      </c>
      <c r="E430" t="s">
        <v>15</v>
      </c>
      <c r="F430" t="s">
        <v>16</v>
      </c>
      <c r="G430" s="1">
        <v>45684</v>
      </c>
      <c r="H430" t="s">
        <v>39</v>
      </c>
      <c r="I430">
        <v>42910</v>
      </c>
      <c r="J430">
        <v>11</v>
      </c>
      <c r="K430" t="s">
        <v>18</v>
      </c>
      <c r="L430" t="s">
        <v>30</v>
      </c>
    </row>
    <row r="431" spans="1:12" x14ac:dyDescent="0.25">
      <c r="A431" t="s">
        <v>497</v>
      </c>
      <c r="B431" t="s">
        <v>21</v>
      </c>
      <c r="C431">
        <v>43</v>
      </c>
      <c r="D431" t="s">
        <v>14</v>
      </c>
      <c r="E431" t="s">
        <v>37</v>
      </c>
      <c r="F431" t="s">
        <v>38</v>
      </c>
      <c r="G431" s="1">
        <v>45685</v>
      </c>
      <c r="H431" t="s">
        <v>39</v>
      </c>
      <c r="I431">
        <v>69116</v>
      </c>
      <c r="J431">
        <v>7</v>
      </c>
      <c r="K431" t="s">
        <v>18</v>
      </c>
      <c r="L431" t="s">
        <v>19</v>
      </c>
    </row>
    <row r="432" spans="1:12" x14ac:dyDescent="0.25">
      <c r="A432" t="s">
        <v>498</v>
      </c>
      <c r="B432" t="s">
        <v>98</v>
      </c>
      <c r="C432">
        <v>51</v>
      </c>
      <c r="D432" t="s">
        <v>14</v>
      </c>
      <c r="E432" t="s">
        <v>26</v>
      </c>
      <c r="F432" t="s">
        <v>27</v>
      </c>
      <c r="G432" s="1">
        <v>45661</v>
      </c>
      <c r="H432" t="s">
        <v>28</v>
      </c>
      <c r="I432">
        <v>20613</v>
      </c>
      <c r="J432">
        <v>2</v>
      </c>
      <c r="K432" t="s">
        <v>18</v>
      </c>
      <c r="L432" t="s">
        <v>30</v>
      </c>
    </row>
    <row r="433" spans="1:12" x14ac:dyDescent="0.25">
      <c r="A433" t="s">
        <v>499</v>
      </c>
      <c r="B433" t="s">
        <v>13</v>
      </c>
      <c r="C433">
        <v>68</v>
      </c>
      <c r="D433" t="s">
        <v>14</v>
      </c>
      <c r="E433" t="s">
        <v>26</v>
      </c>
      <c r="F433" t="s">
        <v>27</v>
      </c>
      <c r="G433" s="1">
        <v>45685</v>
      </c>
      <c r="H433" t="s">
        <v>44</v>
      </c>
      <c r="I433">
        <v>116067</v>
      </c>
      <c r="J433">
        <v>6</v>
      </c>
      <c r="K433" t="s">
        <v>29</v>
      </c>
      <c r="L433" t="s">
        <v>47</v>
      </c>
    </row>
    <row r="434" spans="1:12" x14ac:dyDescent="0.25">
      <c r="A434" t="s">
        <v>500</v>
      </c>
      <c r="B434" t="s">
        <v>72</v>
      </c>
      <c r="C434">
        <v>54</v>
      </c>
      <c r="D434" t="s">
        <v>14</v>
      </c>
      <c r="E434" t="s">
        <v>15</v>
      </c>
      <c r="F434" t="s">
        <v>16</v>
      </c>
      <c r="G434" s="1">
        <v>45659</v>
      </c>
      <c r="H434" t="s">
        <v>68</v>
      </c>
      <c r="I434">
        <v>37099</v>
      </c>
      <c r="J434">
        <v>6</v>
      </c>
      <c r="K434" t="s">
        <v>18</v>
      </c>
      <c r="L434" t="s">
        <v>19</v>
      </c>
    </row>
    <row r="435" spans="1:12" x14ac:dyDescent="0.25">
      <c r="A435" t="s">
        <v>501</v>
      </c>
      <c r="B435" t="s">
        <v>41</v>
      </c>
      <c r="C435">
        <v>20</v>
      </c>
      <c r="D435" t="s">
        <v>14</v>
      </c>
      <c r="E435" t="s">
        <v>26</v>
      </c>
      <c r="F435" t="s">
        <v>27</v>
      </c>
      <c r="G435" s="1">
        <v>45686</v>
      </c>
      <c r="H435" t="s">
        <v>57</v>
      </c>
      <c r="I435">
        <v>91507</v>
      </c>
      <c r="J435">
        <v>3</v>
      </c>
      <c r="K435" t="s">
        <v>18</v>
      </c>
      <c r="L435" t="s">
        <v>19</v>
      </c>
    </row>
    <row r="436" spans="1:12" x14ac:dyDescent="0.25">
      <c r="A436" t="s">
        <v>502</v>
      </c>
      <c r="B436" t="s">
        <v>82</v>
      </c>
      <c r="C436">
        <v>75</v>
      </c>
      <c r="D436" t="s">
        <v>14</v>
      </c>
      <c r="E436" t="s">
        <v>37</v>
      </c>
      <c r="F436" t="s">
        <v>38</v>
      </c>
      <c r="G436" s="1">
        <v>45658</v>
      </c>
      <c r="H436" t="s">
        <v>57</v>
      </c>
      <c r="I436">
        <v>108136</v>
      </c>
      <c r="J436">
        <v>12</v>
      </c>
      <c r="K436" t="s">
        <v>29</v>
      </c>
      <c r="L436" t="s">
        <v>47</v>
      </c>
    </row>
    <row r="437" spans="1:12" x14ac:dyDescent="0.25">
      <c r="A437" t="s">
        <v>503</v>
      </c>
      <c r="B437" t="s">
        <v>72</v>
      </c>
      <c r="C437">
        <v>72</v>
      </c>
      <c r="D437" t="s">
        <v>25</v>
      </c>
      <c r="E437" t="s">
        <v>55</v>
      </c>
      <c r="F437" t="s">
        <v>56</v>
      </c>
      <c r="G437" s="1">
        <v>45685</v>
      </c>
      <c r="H437" t="s">
        <v>17</v>
      </c>
      <c r="I437">
        <v>18614</v>
      </c>
      <c r="J437">
        <v>4</v>
      </c>
      <c r="K437" t="s">
        <v>29</v>
      </c>
      <c r="L437" t="s">
        <v>47</v>
      </c>
    </row>
    <row r="438" spans="1:12" x14ac:dyDescent="0.25">
      <c r="A438" t="s">
        <v>504</v>
      </c>
      <c r="B438" t="s">
        <v>32</v>
      </c>
      <c r="C438">
        <v>56</v>
      </c>
      <c r="D438" t="s">
        <v>25</v>
      </c>
      <c r="E438" t="s">
        <v>55</v>
      </c>
      <c r="F438" t="s">
        <v>56</v>
      </c>
      <c r="G438" s="1">
        <v>45664</v>
      </c>
      <c r="H438" t="s">
        <v>52</v>
      </c>
      <c r="I438">
        <v>28707</v>
      </c>
      <c r="J438">
        <v>6</v>
      </c>
      <c r="K438" t="s">
        <v>29</v>
      </c>
      <c r="L438" t="s">
        <v>19</v>
      </c>
    </row>
    <row r="439" spans="1:12" x14ac:dyDescent="0.25">
      <c r="A439" t="s">
        <v>505</v>
      </c>
      <c r="B439" t="s">
        <v>54</v>
      </c>
      <c r="C439">
        <v>50</v>
      </c>
      <c r="D439" t="s">
        <v>25</v>
      </c>
      <c r="E439" t="s">
        <v>55</v>
      </c>
      <c r="F439" t="s">
        <v>56</v>
      </c>
      <c r="G439" s="1">
        <v>45660</v>
      </c>
      <c r="H439" t="s">
        <v>119</v>
      </c>
      <c r="I439">
        <v>94004</v>
      </c>
      <c r="J439">
        <v>8</v>
      </c>
      <c r="K439" t="s">
        <v>29</v>
      </c>
      <c r="L439" t="s">
        <v>30</v>
      </c>
    </row>
    <row r="440" spans="1:12" x14ac:dyDescent="0.25">
      <c r="A440" t="s">
        <v>506</v>
      </c>
      <c r="B440" t="s">
        <v>98</v>
      </c>
      <c r="C440">
        <v>19</v>
      </c>
      <c r="D440" t="s">
        <v>25</v>
      </c>
      <c r="E440" t="s">
        <v>26</v>
      </c>
      <c r="F440" t="s">
        <v>27</v>
      </c>
      <c r="G440" s="1">
        <v>45664</v>
      </c>
      <c r="H440" t="s">
        <v>35</v>
      </c>
      <c r="I440">
        <v>110704</v>
      </c>
      <c r="J440">
        <v>0</v>
      </c>
      <c r="K440" t="s">
        <v>18</v>
      </c>
      <c r="L440" t="s">
        <v>30</v>
      </c>
    </row>
    <row r="441" spans="1:12" x14ac:dyDescent="0.25">
      <c r="A441" t="s">
        <v>507</v>
      </c>
      <c r="B441" t="s">
        <v>54</v>
      </c>
      <c r="C441">
        <v>76</v>
      </c>
      <c r="D441" t="s">
        <v>14</v>
      </c>
      <c r="E441" t="s">
        <v>37</v>
      </c>
      <c r="F441" t="s">
        <v>38</v>
      </c>
      <c r="G441" s="1">
        <v>45680</v>
      </c>
      <c r="H441" t="s">
        <v>35</v>
      </c>
      <c r="I441">
        <v>36910</v>
      </c>
      <c r="J441">
        <v>5</v>
      </c>
      <c r="K441" t="s">
        <v>29</v>
      </c>
      <c r="L441" t="s">
        <v>19</v>
      </c>
    </row>
    <row r="442" spans="1:12" x14ac:dyDescent="0.25">
      <c r="A442" t="s">
        <v>508</v>
      </c>
      <c r="B442" t="s">
        <v>13</v>
      </c>
      <c r="C442">
        <v>61</v>
      </c>
      <c r="D442" t="s">
        <v>25</v>
      </c>
      <c r="E442" t="s">
        <v>37</v>
      </c>
      <c r="F442" t="s">
        <v>38</v>
      </c>
      <c r="G442" s="1">
        <v>45665</v>
      </c>
      <c r="H442" t="s">
        <v>44</v>
      </c>
      <c r="I442">
        <v>65066</v>
      </c>
      <c r="J442">
        <v>9</v>
      </c>
      <c r="K442" t="s">
        <v>29</v>
      </c>
      <c r="L442" t="s">
        <v>30</v>
      </c>
    </row>
    <row r="443" spans="1:12" x14ac:dyDescent="0.25">
      <c r="A443" t="s">
        <v>509</v>
      </c>
      <c r="B443" t="s">
        <v>98</v>
      </c>
      <c r="C443">
        <v>53</v>
      </c>
      <c r="D443" t="s">
        <v>14</v>
      </c>
      <c r="E443" t="s">
        <v>37</v>
      </c>
      <c r="F443" t="s">
        <v>38</v>
      </c>
      <c r="G443" s="1">
        <v>45669</v>
      </c>
      <c r="H443" t="s">
        <v>68</v>
      </c>
      <c r="I443">
        <v>110792</v>
      </c>
      <c r="J443">
        <v>4</v>
      </c>
      <c r="K443" t="s">
        <v>18</v>
      </c>
      <c r="L443" t="s">
        <v>47</v>
      </c>
    </row>
    <row r="444" spans="1:12" x14ac:dyDescent="0.25">
      <c r="A444" t="s">
        <v>510</v>
      </c>
      <c r="B444" t="s">
        <v>41</v>
      </c>
      <c r="C444">
        <v>21</v>
      </c>
      <c r="D444" t="s">
        <v>25</v>
      </c>
      <c r="E444" t="s">
        <v>42</v>
      </c>
      <c r="F444" t="s">
        <v>43</v>
      </c>
      <c r="G444" s="1">
        <v>45685</v>
      </c>
      <c r="H444" t="s">
        <v>35</v>
      </c>
      <c r="I444">
        <v>113343</v>
      </c>
      <c r="J444">
        <v>3</v>
      </c>
      <c r="K444" t="s">
        <v>18</v>
      </c>
      <c r="L444" t="s">
        <v>19</v>
      </c>
    </row>
    <row r="445" spans="1:12" x14ac:dyDescent="0.25">
      <c r="A445" t="s">
        <v>511</v>
      </c>
      <c r="B445" t="s">
        <v>82</v>
      </c>
      <c r="C445">
        <v>59</v>
      </c>
      <c r="D445" t="s">
        <v>14</v>
      </c>
      <c r="E445" t="s">
        <v>33</v>
      </c>
      <c r="F445" t="s">
        <v>34</v>
      </c>
      <c r="G445" s="1">
        <v>45674</v>
      </c>
      <c r="H445" t="s">
        <v>22</v>
      </c>
      <c r="I445">
        <v>114328</v>
      </c>
      <c r="J445">
        <v>12</v>
      </c>
      <c r="K445" t="s">
        <v>18</v>
      </c>
      <c r="L445" t="s">
        <v>47</v>
      </c>
    </row>
    <row r="446" spans="1:12" x14ac:dyDescent="0.25">
      <c r="A446" t="s">
        <v>512</v>
      </c>
      <c r="B446" t="s">
        <v>51</v>
      </c>
      <c r="C446">
        <v>56</v>
      </c>
      <c r="D446" t="s">
        <v>25</v>
      </c>
      <c r="E446" t="s">
        <v>33</v>
      </c>
      <c r="F446" t="s">
        <v>34</v>
      </c>
      <c r="G446" s="1">
        <v>45665</v>
      </c>
      <c r="H446" t="s">
        <v>39</v>
      </c>
      <c r="I446">
        <v>80736</v>
      </c>
      <c r="J446">
        <v>12</v>
      </c>
      <c r="K446" t="s">
        <v>29</v>
      </c>
      <c r="L446" t="s">
        <v>19</v>
      </c>
    </row>
    <row r="447" spans="1:12" x14ac:dyDescent="0.25">
      <c r="A447" t="s">
        <v>513</v>
      </c>
      <c r="B447" t="s">
        <v>82</v>
      </c>
      <c r="C447">
        <v>45</v>
      </c>
      <c r="D447" t="s">
        <v>14</v>
      </c>
      <c r="E447" t="s">
        <v>15</v>
      </c>
      <c r="F447" t="s">
        <v>16</v>
      </c>
      <c r="G447" s="1">
        <v>45685</v>
      </c>
      <c r="H447" t="s">
        <v>44</v>
      </c>
      <c r="I447">
        <v>61161</v>
      </c>
      <c r="J447">
        <v>4</v>
      </c>
      <c r="K447" t="s">
        <v>18</v>
      </c>
      <c r="L447" t="s">
        <v>47</v>
      </c>
    </row>
    <row r="448" spans="1:12" x14ac:dyDescent="0.25">
      <c r="A448" t="s">
        <v>514</v>
      </c>
      <c r="B448" t="s">
        <v>101</v>
      </c>
      <c r="C448">
        <v>70</v>
      </c>
      <c r="D448" t="s">
        <v>14</v>
      </c>
      <c r="E448" t="s">
        <v>55</v>
      </c>
      <c r="F448" t="s">
        <v>56</v>
      </c>
      <c r="G448" s="1">
        <v>45676</v>
      </c>
      <c r="H448" t="s">
        <v>102</v>
      </c>
      <c r="I448">
        <v>1963</v>
      </c>
      <c r="J448">
        <v>8</v>
      </c>
      <c r="K448" t="s">
        <v>29</v>
      </c>
      <c r="L448" t="s">
        <v>19</v>
      </c>
    </row>
    <row r="449" spans="1:12" x14ac:dyDescent="0.25">
      <c r="A449" t="s">
        <v>515</v>
      </c>
      <c r="B449" t="s">
        <v>70</v>
      </c>
      <c r="C449">
        <v>56</v>
      </c>
      <c r="D449" t="s">
        <v>14</v>
      </c>
      <c r="E449" t="s">
        <v>15</v>
      </c>
      <c r="F449" t="s">
        <v>16</v>
      </c>
      <c r="G449" s="1">
        <v>45667</v>
      </c>
      <c r="H449" t="s">
        <v>102</v>
      </c>
      <c r="I449">
        <v>64142</v>
      </c>
      <c r="J449">
        <v>1</v>
      </c>
      <c r="K449" t="s">
        <v>29</v>
      </c>
      <c r="L449" t="s">
        <v>47</v>
      </c>
    </row>
    <row r="450" spans="1:12" x14ac:dyDescent="0.25">
      <c r="A450" t="s">
        <v>516</v>
      </c>
      <c r="B450" t="s">
        <v>59</v>
      </c>
      <c r="C450">
        <v>73</v>
      </c>
      <c r="D450" t="s">
        <v>14</v>
      </c>
      <c r="E450" t="s">
        <v>15</v>
      </c>
      <c r="F450" t="s">
        <v>16</v>
      </c>
      <c r="G450" s="1">
        <v>45666</v>
      </c>
      <c r="H450" t="s">
        <v>119</v>
      </c>
      <c r="I450">
        <v>25688</v>
      </c>
      <c r="J450">
        <v>2</v>
      </c>
      <c r="K450" t="s">
        <v>18</v>
      </c>
      <c r="L450" t="s">
        <v>30</v>
      </c>
    </row>
    <row r="451" spans="1:12" x14ac:dyDescent="0.25">
      <c r="A451" t="s">
        <v>517</v>
      </c>
      <c r="B451" t="s">
        <v>41</v>
      </c>
      <c r="C451">
        <v>60</v>
      </c>
      <c r="D451" t="s">
        <v>14</v>
      </c>
      <c r="E451" t="s">
        <v>26</v>
      </c>
      <c r="F451" t="s">
        <v>27</v>
      </c>
      <c r="G451" s="1">
        <v>45679</v>
      </c>
      <c r="H451" t="s">
        <v>83</v>
      </c>
      <c r="I451">
        <v>95540</v>
      </c>
      <c r="J451">
        <v>0</v>
      </c>
      <c r="K451" t="s">
        <v>29</v>
      </c>
      <c r="L451" t="s">
        <v>47</v>
      </c>
    </row>
    <row r="452" spans="1:12" x14ac:dyDescent="0.25">
      <c r="A452" t="s">
        <v>518</v>
      </c>
      <c r="B452" t="s">
        <v>32</v>
      </c>
      <c r="C452">
        <v>43</v>
      </c>
      <c r="D452" t="s">
        <v>14</v>
      </c>
      <c r="E452" t="s">
        <v>55</v>
      </c>
      <c r="F452" t="s">
        <v>56</v>
      </c>
      <c r="G452" s="1">
        <v>45681</v>
      </c>
      <c r="H452" t="s">
        <v>63</v>
      </c>
      <c r="I452">
        <v>77418</v>
      </c>
      <c r="J452">
        <v>11</v>
      </c>
      <c r="K452" t="s">
        <v>18</v>
      </c>
      <c r="L452" t="s">
        <v>47</v>
      </c>
    </row>
    <row r="453" spans="1:12" x14ac:dyDescent="0.25">
      <c r="A453" t="s">
        <v>519</v>
      </c>
      <c r="B453" t="s">
        <v>46</v>
      </c>
      <c r="C453">
        <v>61</v>
      </c>
      <c r="D453" t="s">
        <v>14</v>
      </c>
      <c r="E453" t="s">
        <v>15</v>
      </c>
      <c r="F453" t="s">
        <v>16</v>
      </c>
      <c r="G453" s="1">
        <v>45687</v>
      </c>
      <c r="H453" t="s">
        <v>44</v>
      </c>
      <c r="I453">
        <v>67494</v>
      </c>
      <c r="J453">
        <v>4</v>
      </c>
      <c r="K453" t="s">
        <v>18</v>
      </c>
      <c r="L453" t="s">
        <v>19</v>
      </c>
    </row>
    <row r="454" spans="1:12" x14ac:dyDescent="0.25">
      <c r="A454" t="s">
        <v>520</v>
      </c>
      <c r="B454" t="s">
        <v>51</v>
      </c>
      <c r="C454">
        <v>36</v>
      </c>
      <c r="D454" t="s">
        <v>25</v>
      </c>
      <c r="E454" t="s">
        <v>26</v>
      </c>
      <c r="F454" t="s">
        <v>27</v>
      </c>
      <c r="G454" s="1">
        <v>45673</v>
      </c>
      <c r="H454" t="s">
        <v>83</v>
      </c>
      <c r="I454">
        <v>98113</v>
      </c>
      <c r="J454">
        <v>4</v>
      </c>
      <c r="K454" t="s">
        <v>18</v>
      </c>
      <c r="L454" t="s">
        <v>19</v>
      </c>
    </row>
    <row r="455" spans="1:12" x14ac:dyDescent="0.25">
      <c r="A455" t="s">
        <v>521</v>
      </c>
      <c r="B455" t="s">
        <v>131</v>
      </c>
      <c r="C455">
        <v>32</v>
      </c>
      <c r="D455" t="s">
        <v>14</v>
      </c>
      <c r="E455" t="s">
        <v>55</v>
      </c>
      <c r="F455" t="s">
        <v>56</v>
      </c>
      <c r="G455" s="1">
        <v>45665</v>
      </c>
      <c r="H455" t="s">
        <v>119</v>
      </c>
      <c r="I455">
        <v>56112</v>
      </c>
      <c r="J455">
        <v>12</v>
      </c>
      <c r="K455" t="s">
        <v>29</v>
      </c>
      <c r="L455" t="s">
        <v>47</v>
      </c>
    </row>
    <row r="456" spans="1:12" x14ac:dyDescent="0.25">
      <c r="A456" t="s">
        <v>522</v>
      </c>
      <c r="B456" t="s">
        <v>98</v>
      </c>
      <c r="C456">
        <v>36</v>
      </c>
      <c r="D456" t="s">
        <v>14</v>
      </c>
      <c r="E456" t="s">
        <v>55</v>
      </c>
      <c r="F456" t="s">
        <v>56</v>
      </c>
      <c r="G456" s="1">
        <v>45685</v>
      </c>
      <c r="H456" t="s">
        <v>102</v>
      </c>
      <c r="I456">
        <v>62674</v>
      </c>
      <c r="J456">
        <v>0</v>
      </c>
      <c r="K456" t="s">
        <v>18</v>
      </c>
      <c r="L456" t="s">
        <v>47</v>
      </c>
    </row>
    <row r="457" spans="1:12" x14ac:dyDescent="0.25">
      <c r="A457" t="s">
        <v>523</v>
      </c>
      <c r="B457" t="s">
        <v>101</v>
      </c>
      <c r="C457">
        <v>25</v>
      </c>
      <c r="D457" t="s">
        <v>14</v>
      </c>
      <c r="E457" t="s">
        <v>33</v>
      </c>
      <c r="F457" t="s">
        <v>34</v>
      </c>
      <c r="G457" s="1">
        <v>45674</v>
      </c>
      <c r="H457" t="s">
        <v>119</v>
      </c>
      <c r="I457">
        <v>55146</v>
      </c>
      <c r="J457">
        <v>0</v>
      </c>
      <c r="K457" t="s">
        <v>18</v>
      </c>
      <c r="L457" t="s">
        <v>30</v>
      </c>
    </row>
    <row r="458" spans="1:12" x14ac:dyDescent="0.25">
      <c r="A458" t="s">
        <v>524</v>
      </c>
      <c r="B458" t="s">
        <v>59</v>
      </c>
      <c r="C458">
        <v>44</v>
      </c>
      <c r="D458" t="s">
        <v>14</v>
      </c>
      <c r="E458" t="s">
        <v>33</v>
      </c>
      <c r="F458" t="s">
        <v>34</v>
      </c>
      <c r="G458" s="1">
        <v>45662</v>
      </c>
      <c r="H458" t="s">
        <v>57</v>
      </c>
      <c r="I458">
        <v>114035</v>
      </c>
      <c r="J458">
        <v>11</v>
      </c>
      <c r="K458" t="s">
        <v>18</v>
      </c>
      <c r="L458" t="s">
        <v>30</v>
      </c>
    </row>
    <row r="459" spans="1:12" x14ac:dyDescent="0.25">
      <c r="A459" t="s">
        <v>525</v>
      </c>
      <c r="B459" t="s">
        <v>59</v>
      </c>
      <c r="C459">
        <v>58</v>
      </c>
      <c r="D459" t="s">
        <v>25</v>
      </c>
      <c r="E459" t="s">
        <v>37</v>
      </c>
      <c r="F459" t="s">
        <v>38</v>
      </c>
      <c r="G459" s="1">
        <v>45668</v>
      </c>
      <c r="H459" t="s">
        <v>63</v>
      </c>
      <c r="I459">
        <v>1617</v>
      </c>
      <c r="J459">
        <v>7</v>
      </c>
      <c r="K459" t="s">
        <v>29</v>
      </c>
      <c r="L459" t="s">
        <v>30</v>
      </c>
    </row>
    <row r="460" spans="1:12" x14ac:dyDescent="0.25">
      <c r="A460" t="s">
        <v>526</v>
      </c>
      <c r="B460" t="s">
        <v>98</v>
      </c>
      <c r="C460">
        <v>66</v>
      </c>
      <c r="D460" t="s">
        <v>25</v>
      </c>
      <c r="E460" t="s">
        <v>33</v>
      </c>
      <c r="F460" t="s">
        <v>34</v>
      </c>
      <c r="G460" s="1">
        <v>45673</v>
      </c>
      <c r="H460" t="s">
        <v>107</v>
      </c>
      <c r="I460">
        <v>17961</v>
      </c>
      <c r="J460">
        <v>9</v>
      </c>
      <c r="K460" t="s">
        <v>29</v>
      </c>
      <c r="L460" t="s">
        <v>19</v>
      </c>
    </row>
    <row r="461" spans="1:12" x14ac:dyDescent="0.25">
      <c r="A461" t="s">
        <v>527</v>
      </c>
      <c r="B461" t="s">
        <v>41</v>
      </c>
      <c r="C461">
        <v>45</v>
      </c>
      <c r="D461" t="s">
        <v>14</v>
      </c>
      <c r="E461" t="s">
        <v>37</v>
      </c>
      <c r="F461" t="s">
        <v>38</v>
      </c>
      <c r="G461" s="1">
        <v>45670</v>
      </c>
      <c r="H461" t="s">
        <v>22</v>
      </c>
      <c r="I461">
        <v>5944</v>
      </c>
      <c r="J461">
        <v>8</v>
      </c>
      <c r="K461" t="s">
        <v>18</v>
      </c>
      <c r="L461" t="s">
        <v>19</v>
      </c>
    </row>
    <row r="462" spans="1:12" x14ac:dyDescent="0.25">
      <c r="A462" t="s">
        <v>528</v>
      </c>
      <c r="B462" t="s">
        <v>24</v>
      </c>
      <c r="C462">
        <v>75</v>
      </c>
      <c r="D462" t="s">
        <v>14</v>
      </c>
      <c r="E462" t="s">
        <v>55</v>
      </c>
      <c r="F462" t="s">
        <v>56</v>
      </c>
      <c r="G462" s="1">
        <v>45682</v>
      </c>
      <c r="H462" t="s">
        <v>76</v>
      </c>
      <c r="I462">
        <v>25979</v>
      </c>
      <c r="J462">
        <v>0</v>
      </c>
      <c r="K462" t="s">
        <v>18</v>
      </c>
      <c r="L462" t="s">
        <v>19</v>
      </c>
    </row>
    <row r="463" spans="1:12" x14ac:dyDescent="0.25">
      <c r="A463" t="s">
        <v>529</v>
      </c>
      <c r="B463" t="s">
        <v>46</v>
      </c>
      <c r="C463">
        <v>32</v>
      </c>
      <c r="D463" t="s">
        <v>14</v>
      </c>
      <c r="E463" t="s">
        <v>15</v>
      </c>
      <c r="F463" t="s">
        <v>16</v>
      </c>
      <c r="G463" s="1">
        <v>45667</v>
      </c>
      <c r="H463" t="s">
        <v>83</v>
      </c>
      <c r="I463">
        <v>14462</v>
      </c>
      <c r="J463">
        <v>6</v>
      </c>
      <c r="K463" t="s">
        <v>29</v>
      </c>
      <c r="L463" t="s">
        <v>30</v>
      </c>
    </row>
    <row r="464" spans="1:12" x14ac:dyDescent="0.25">
      <c r="A464" t="s">
        <v>530</v>
      </c>
      <c r="B464" t="s">
        <v>54</v>
      </c>
      <c r="C464">
        <v>37</v>
      </c>
      <c r="D464" t="s">
        <v>14</v>
      </c>
      <c r="E464" t="s">
        <v>42</v>
      </c>
      <c r="F464" t="s">
        <v>43</v>
      </c>
      <c r="G464" s="1">
        <v>45672</v>
      </c>
      <c r="H464" t="s">
        <v>76</v>
      </c>
      <c r="I464">
        <v>79167</v>
      </c>
      <c r="J464">
        <v>8</v>
      </c>
      <c r="K464" t="s">
        <v>29</v>
      </c>
      <c r="L464" t="s">
        <v>47</v>
      </c>
    </row>
    <row r="465" spans="1:12" x14ac:dyDescent="0.25">
      <c r="A465" t="s">
        <v>531</v>
      </c>
      <c r="B465" t="s">
        <v>62</v>
      </c>
      <c r="C465">
        <v>39</v>
      </c>
      <c r="D465" t="s">
        <v>14</v>
      </c>
      <c r="E465" t="s">
        <v>15</v>
      </c>
      <c r="F465" t="s">
        <v>16</v>
      </c>
      <c r="G465" s="1">
        <v>45669</v>
      </c>
      <c r="H465" t="s">
        <v>35</v>
      </c>
      <c r="I465">
        <v>22611</v>
      </c>
      <c r="J465">
        <v>12</v>
      </c>
      <c r="K465" t="s">
        <v>29</v>
      </c>
      <c r="L465" t="s">
        <v>30</v>
      </c>
    </row>
    <row r="466" spans="1:12" x14ac:dyDescent="0.25">
      <c r="A466" t="s">
        <v>532</v>
      </c>
      <c r="B466" t="s">
        <v>46</v>
      </c>
      <c r="C466">
        <v>64</v>
      </c>
      <c r="D466" t="s">
        <v>25</v>
      </c>
      <c r="E466" t="s">
        <v>33</v>
      </c>
      <c r="F466" t="s">
        <v>34</v>
      </c>
      <c r="G466" s="1">
        <v>45664</v>
      </c>
      <c r="H466" t="s">
        <v>22</v>
      </c>
      <c r="I466">
        <v>78292</v>
      </c>
      <c r="J466">
        <v>8</v>
      </c>
      <c r="K466" t="s">
        <v>18</v>
      </c>
      <c r="L466" t="s">
        <v>30</v>
      </c>
    </row>
    <row r="467" spans="1:12" x14ac:dyDescent="0.25">
      <c r="A467" t="s">
        <v>533</v>
      </c>
      <c r="B467" t="s">
        <v>54</v>
      </c>
      <c r="C467">
        <v>42</v>
      </c>
      <c r="D467" t="s">
        <v>14</v>
      </c>
      <c r="E467" t="s">
        <v>55</v>
      </c>
      <c r="F467" t="s">
        <v>56</v>
      </c>
      <c r="G467" s="1">
        <v>45682</v>
      </c>
      <c r="H467" t="s">
        <v>63</v>
      </c>
      <c r="I467">
        <v>78846</v>
      </c>
      <c r="J467">
        <v>0</v>
      </c>
      <c r="K467" t="s">
        <v>18</v>
      </c>
      <c r="L467" t="s">
        <v>19</v>
      </c>
    </row>
    <row r="468" spans="1:12" x14ac:dyDescent="0.25">
      <c r="A468" t="s">
        <v>534</v>
      </c>
      <c r="B468" t="s">
        <v>54</v>
      </c>
      <c r="C468">
        <v>62</v>
      </c>
      <c r="D468" t="s">
        <v>25</v>
      </c>
      <c r="E468" t="s">
        <v>42</v>
      </c>
      <c r="F468" t="s">
        <v>43</v>
      </c>
      <c r="G468" s="1">
        <v>45671</v>
      </c>
      <c r="H468" t="s">
        <v>52</v>
      </c>
      <c r="I468">
        <v>50840</v>
      </c>
      <c r="J468">
        <v>1</v>
      </c>
      <c r="K468" t="s">
        <v>29</v>
      </c>
      <c r="L468" t="s">
        <v>47</v>
      </c>
    </row>
    <row r="469" spans="1:12" x14ac:dyDescent="0.25">
      <c r="A469" t="s">
        <v>535</v>
      </c>
      <c r="B469" t="s">
        <v>62</v>
      </c>
      <c r="C469">
        <v>31</v>
      </c>
      <c r="D469" t="s">
        <v>25</v>
      </c>
      <c r="E469" t="s">
        <v>15</v>
      </c>
      <c r="F469" t="s">
        <v>16</v>
      </c>
      <c r="G469" s="1">
        <v>45667</v>
      </c>
      <c r="H469" t="s">
        <v>28</v>
      </c>
      <c r="I469">
        <v>87725</v>
      </c>
      <c r="J469">
        <v>1</v>
      </c>
      <c r="K469" t="s">
        <v>29</v>
      </c>
      <c r="L469" t="s">
        <v>19</v>
      </c>
    </row>
    <row r="470" spans="1:12" x14ac:dyDescent="0.25">
      <c r="A470" t="s">
        <v>536</v>
      </c>
      <c r="B470" t="s">
        <v>62</v>
      </c>
      <c r="C470">
        <v>44</v>
      </c>
      <c r="D470" t="s">
        <v>25</v>
      </c>
      <c r="E470" t="s">
        <v>26</v>
      </c>
      <c r="F470" t="s">
        <v>27</v>
      </c>
      <c r="G470" s="1">
        <v>45674</v>
      </c>
      <c r="H470" t="s">
        <v>102</v>
      </c>
      <c r="I470">
        <v>38054</v>
      </c>
      <c r="J470">
        <v>1</v>
      </c>
      <c r="K470" t="s">
        <v>18</v>
      </c>
      <c r="L470" t="s">
        <v>47</v>
      </c>
    </row>
    <row r="471" spans="1:12" x14ac:dyDescent="0.25">
      <c r="A471" t="s">
        <v>537</v>
      </c>
      <c r="B471" t="s">
        <v>70</v>
      </c>
      <c r="C471">
        <v>30</v>
      </c>
      <c r="D471" t="s">
        <v>14</v>
      </c>
      <c r="E471" t="s">
        <v>33</v>
      </c>
      <c r="F471" t="s">
        <v>34</v>
      </c>
      <c r="G471" s="1">
        <v>45684</v>
      </c>
      <c r="H471" t="s">
        <v>76</v>
      </c>
      <c r="I471">
        <v>27433</v>
      </c>
      <c r="J471">
        <v>5</v>
      </c>
      <c r="K471" t="s">
        <v>29</v>
      </c>
      <c r="L471" t="s">
        <v>47</v>
      </c>
    </row>
    <row r="472" spans="1:12" x14ac:dyDescent="0.25">
      <c r="A472" t="s">
        <v>538</v>
      </c>
      <c r="B472" t="s">
        <v>54</v>
      </c>
      <c r="C472">
        <v>53</v>
      </c>
      <c r="D472" t="s">
        <v>14</v>
      </c>
      <c r="E472" t="s">
        <v>33</v>
      </c>
      <c r="F472" t="s">
        <v>34</v>
      </c>
      <c r="G472" s="1">
        <v>45687</v>
      </c>
      <c r="H472" t="s">
        <v>35</v>
      </c>
      <c r="I472">
        <v>91204</v>
      </c>
      <c r="J472">
        <v>7</v>
      </c>
      <c r="K472" t="s">
        <v>29</v>
      </c>
      <c r="L472" t="s">
        <v>30</v>
      </c>
    </row>
    <row r="473" spans="1:12" x14ac:dyDescent="0.25">
      <c r="A473" t="s">
        <v>539</v>
      </c>
      <c r="B473" t="s">
        <v>24</v>
      </c>
      <c r="C473">
        <v>60</v>
      </c>
      <c r="D473" t="s">
        <v>25</v>
      </c>
      <c r="E473" t="s">
        <v>42</v>
      </c>
      <c r="F473" t="s">
        <v>43</v>
      </c>
      <c r="G473" s="1">
        <v>45687</v>
      </c>
      <c r="H473" t="s">
        <v>102</v>
      </c>
      <c r="I473">
        <v>110475</v>
      </c>
      <c r="J473">
        <v>9</v>
      </c>
      <c r="K473" t="s">
        <v>29</v>
      </c>
      <c r="L473" t="s">
        <v>30</v>
      </c>
    </row>
    <row r="474" spans="1:12" x14ac:dyDescent="0.25">
      <c r="A474" t="s">
        <v>540</v>
      </c>
      <c r="B474" t="s">
        <v>101</v>
      </c>
      <c r="C474">
        <v>22</v>
      </c>
      <c r="D474" t="s">
        <v>25</v>
      </c>
      <c r="E474" t="s">
        <v>42</v>
      </c>
      <c r="F474" t="s">
        <v>43</v>
      </c>
      <c r="G474" s="1">
        <v>45686</v>
      </c>
      <c r="H474" t="s">
        <v>39</v>
      </c>
      <c r="I474">
        <v>85454</v>
      </c>
      <c r="J474">
        <v>3</v>
      </c>
      <c r="K474" t="s">
        <v>29</v>
      </c>
      <c r="L474" t="s">
        <v>47</v>
      </c>
    </row>
    <row r="475" spans="1:12" x14ac:dyDescent="0.25">
      <c r="A475" t="s">
        <v>541</v>
      </c>
      <c r="B475" t="s">
        <v>88</v>
      </c>
      <c r="C475">
        <v>21</v>
      </c>
      <c r="D475" t="s">
        <v>25</v>
      </c>
      <c r="E475" t="s">
        <v>55</v>
      </c>
      <c r="F475" t="s">
        <v>56</v>
      </c>
      <c r="G475" s="1">
        <v>45684</v>
      </c>
      <c r="H475" t="s">
        <v>68</v>
      </c>
      <c r="I475">
        <v>115575</v>
      </c>
      <c r="J475">
        <v>0</v>
      </c>
      <c r="K475" t="s">
        <v>29</v>
      </c>
      <c r="L475" t="s">
        <v>47</v>
      </c>
    </row>
    <row r="476" spans="1:12" x14ac:dyDescent="0.25">
      <c r="A476" t="s">
        <v>542</v>
      </c>
      <c r="B476" t="s">
        <v>59</v>
      </c>
      <c r="C476">
        <v>45</v>
      </c>
      <c r="D476" t="s">
        <v>25</v>
      </c>
      <c r="E476" t="s">
        <v>15</v>
      </c>
      <c r="F476" t="s">
        <v>16</v>
      </c>
      <c r="G476" s="1">
        <v>45661</v>
      </c>
      <c r="H476" t="s">
        <v>63</v>
      </c>
      <c r="I476">
        <v>2267</v>
      </c>
      <c r="J476">
        <v>2</v>
      </c>
      <c r="K476" t="s">
        <v>18</v>
      </c>
      <c r="L476" t="s">
        <v>47</v>
      </c>
    </row>
    <row r="477" spans="1:12" x14ac:dyDescent="0.25">
      <c r="A477" t="s">
        <v>543</v>
      </c>
      <c r="B477" t="s">
        <v>88</v>
      </c>
      <c r="C477">
        <v>79</v>
      </c>
      <c r="D477" t="s">
        <v>14</v>
      </c>
      <c r="E477" t="s">
        <v>55</v>
      </c>
      <c r="F477" t="s">
        <v>56</v>
      </c>
      <c r="G477" s="1">
        <v>45686</v>
      </c>
      <c r="H477" t="s">
        <v>107</v>
      </c>
      <c r="I477">
        <v>49840</v>
      </c>
      <c r="J477">
        <v>5</v>
      </c>
      <c r="K477" t="s">
        <v>18</v>
      </c>
      <c r="L477" t="s">
        <v>30</v>
      </c>
    </row>
    <row r="478" spans="1:12" x14ac:dyDescent="0.25">
      <c r="A478" t="s">
        <v>544</v>
      </c>
      <c r="B478" t="s">
        <v>41</v>
      </c>
      <c r="C478">
        <v>79</v>
      </c>
      <c r="D478" t="s">
        <v>14</v>
      </c>
      <c r="E478" t="s">
        <v>37</v>
      </c>
      <c r="F478" t="s">
        <v>38</v>
      </c>
      <c r="G478" s="1">
        <v>45666</v>
      </c>
      <c r="H478" t="s">
        <v>65</v>
      </c>
      <c r="I478">
        <v>91426</v>
      </c>
      <c r="J478">
        <v>7</v>
      </c>
      <c r="K478" t="s">
        <v>29</v>
      </c>
      <c r="L478" t="s">
        <v>19</v>
      </c>
    </row>
    <row r="479" spans="1:12" x14ac:dyDescent="0.25">
      <c r="A479" t="s">
        <v>545</v>
      </c>
      <c r="B479" t="s">
        <v>13</v>
      </c>
      <c r="C479">
        <v>26</v>
      </c>
      <c r="D479" t="s">
        <v>25</v>
      </c>
      <c r="E479" t="s">
        <v>33</v>
      </c>
      <c r="F479" t="s">
        <v>34</v>
      </c>
      <c r="G479" s="1">
        <v>45688</v>
      </c>
      <c r="H479" t="s">
        <v>68</v>
      </c>
      <c r="I479">
        <v>14593</v>
      </c>
      <c r="J479">
        <v>6</v>
      </c>
      <c r="K479" t="s">
        <v>29</v>
      </c>
      <c r="L479" t="s">
        <v>19</v>
      </c>
    </row>
    <row r="480" spans="1:12" x14ac:dyDescent="0.25">
      <c r="A480" t="s">
        <v>546</v>
      </c>
      <c r="B480" t="s">
        <v>88</v>
      </c>
      <c r="C480">
        <v>29</v>
      </c>
      <c r="D480" t="s">
        <v>14</v>
      </c>
      <c r="E480" t="s">
        <v>15</v>
      </c>
      <c r="F480" t="s">
        <v>16</v>
      </c>
      <c r="G480" s="1">
        <v>45682</v>
      </c>
      <c r="H480" t="s">
        <v>44</v>
      </c>
      <c r="I480">
        <v>81131</v>
      </c>
      <c r="J480">
        <v>0</v>
      </c>
      <c r="K480" t="s">
        <v>18</v>
      </c>
      <c r="L480" t="s">
        <v>47</v>
      </c>
    </row>
    <row r="481" spans="1:12" x14ac:dyDescent="0.25">
      <c r="A481" t="s">
        <v>547</v>
      </c>
      <c r="B481" t="s">
        <v>13</v>
      </c>
      <c r="C481">
        <v>74</v>
      </c>
      <c r="D481" t="s">
        <v>14</v>
      </c>
      <c r="E481" t="s">
        <v>37</v>
      </c>
      <c r="F481" t="s">
        <v>38</v>
      </c>
      <c r="G481" s="1">
        <v>45672</v>
      </c>
      <c r="H481" t="s">
        <v>63</v>
      </c>
      <c r="I481">
        <v>9301</v>
      </c>
      <c r="J481">
        <v>4</v>
      </c>
      <c r="K481" t="s">
        <v>29</v>
      </c>
      <c r="L481" t="s">
        <v>30</v>
      </c>
    </row>
    <row r="482" spans="1:12" x14ac:dyDescent="0.25">
      <c r="A482" t="s">
        <v>548</v>
      </c>
      <c r="B482" t="s">
        <v>101</v>
      </c>
      <c r="C482">
        <v>67</v>
      </c>
      <c r="D482" t="s">
        <v>25</v>
      </c>
      <c r="E482" t="s">
        <v>15</v>
      </c>
      <c r="F482" t="s">
        <v>16</v>
      </c>
      <c r="G482" s="1">
        <v>45688</v>
      </c>
      <c r="H482" t="s">
        <v>57</v>
      </c>
      <c r="I482">
        <v>69039</v>
      </c>
      <c r="J482">
        <v>8</v>
      </c>
      <c r="K482" t="s">
        <v>18</v>
      </c>
      <c r="L482" t="s">
        <v>47</v>
      </c>
    </row>
    <row r="483" spans="1:12" x14ac:dyDescent="0.25">
      <c r="A483" t="s">
        <v>549</v>
      </c>
      <c r="B483" t="s">
        <v>46</v>
      </c>
      <c r="C483">
        <v>48</v>
      </c>
      <c r="D483" t="s">
        <v>14</v>
      </c>
      <c r="E483" t="s">
        <v>15</v>
      </c>
      <c r="F483" t="s">
        <v>16</v>
      </c>
      <c r="G483" s="1">
        <v>45679</v>
      </c>
      <c r="H483" t="s">
        <v>65</v>
      </c>
      <c r="I483">
        <v>20484</v>
      </c>
      <c r="J483">
        <v>8</v>
      </c>
      <c r="K483" t="s">
        <v>18</v>
      </c>
      <c r="L483" t="s">
        <v>30</v>
      </c>
    </row>
    <row r="484" spans="1:12" x14ac:dyDescent="0.25">
      <c r="A484" t="s">
        <v>550</v>
      </c>
      <c r="B484" t="s">
        <v>51</v>
      </c>
      <c r="C484">
        <v>50</v>
      </c>
      <c r="D484" t="s">
        <v>14</v>
      </c>
      <c r="E484" t="s">
        <v>15</v>
      </c>
      <c r="F484" t="s">
        <v>16</v>
      </c>
      <c r="G484" s="1">
        <v>45685</v>
      </c>
      <c r="H484" t="s">
        <v>74</v>
      </c>
      <c r="I484">
        <v>114956</v>
      </c>
      <c r="J484">
        <v>2</v>
      </c>
      <c r="K484" t="s">
        <v>18</v>
      </c>
      <c r="L484" t="s">
        <v>47</v>
      </c>
    </row>
    <row r="485" spans="1:12" x14ac:dyDescent="0.25">
      <c r="A485" t="s">
        <v>551</v>
      </c>
      <c r="B485" t="s">
        <v>46</v>
      </c>
      <c r="C485">
        <v>39</v>
      </c>
      <c r="D485" t="s">
        <v>14</v>
      </c>
      <c r="E485" t="s">
        <v>55</v>
      </c>
      <c r="F485" t="s">
        <v>56</v>
      </c>
      <c r="G485" s="1">
        <v>45659</v>
      </c>
      <c r="H485" t="s">
        <v>76</v>
      </c>
      <c r="I485">
        <v>30190</v>
      </c>
      <c r="J485">
        <v>8</v>
      </c>
      <c r="K485" t="s">
        <v>29</v>
      </c>
      <c r="L485" t="s">
        <v>47</v>
      </c>
    </row>
    <row r="486" spans="1:12" x14ac:dyDescent="0.25">
      <c r="A486" t="s">
        <v>552</v>
      </c>
      <c r="B486" t="s">
        <v>131</v>
      </c>
      <c r="C486">
        <v>47</v>
      </c>
      <c r="D486" t="s">
        <v>14</v>
      </c>
      <c r="E486" t="s">
        <v>33</v>
      </c>
      <c r="F486" t="s">
        <v>34</v>
      </c>
      <c r="G486" s="1">
        <v>45683</v>
      </c>
      <c r="H486" t="s">
        <v>52</v>
      </c>
      <c r="I486">
        <v>12536</v>
      </c>
      <c r="J486">
        <v>7</v>
      </c>
      <c r="K486" t="s">
        <v>29</v>
      </c>
      <c r="L486" t="s">
        <v>47</v>
      </c>
    </row>
    <row r="487" spans="1:12" x14ac:dyDescent="0.25">
      <c r="A487" t="s">
        <v>553</v>
      </c>
      <c r="B487" t="s">
        <v>72</v>
      </c>
      <c r="C487">
        <v>65</v>
      </c>
      <c r="D487" t="s">
        <v>25</v>
      </c>
      <c r="E487" t="s">
        <v>42</v>
      </c>
      <c r="F487" t="s">
        <v>43</v>
      </c>
      <c r="G487" s="1">
        <v>45661</v>
      </c>
      <c r="H487" t="s">
        <v>65</v>
      </c>
      <c r="I487">
        <v>55046</v>
      </c>
      <c r="J487">
        <v>0</v>
      </c>
      <c r="K487" t="s">
        <v>18</v>
      </c>
      <c r="L487" t="s">
        <v>30</v>
      </c>
    </row>
    <row r="488" spans="1:12" x14ac:dyDescent="0.25">
      <c r="A488" t="s">
        <v>554</v>
      </c>
      <c r="B488" t="s">
        <v>70</v>
      </c>
      <c r="C488">
        <v>58</v>
      </c>
      <c r="D488" t="s">
        <v>14</v>
      </c>
      <c r="E488" t="s">
        <v>26</v>
      </c>
      <c r="F488" t="s">
        <v>27</v>
      </c>
      <c r="G488" s="1">
        <v>45686</v>
      </c>
      <c r="H488" t="s">
        <v>76</v>
      </c>
      <c r="I488">
        <v>74706</v>
      </c>
      <c r="J488">
        <v>3</v>
      </c>
      <c r="K488" t="s">
        <v>29</v>
      </c>
      <c r="L488" t="s">
        <v>47</v>
      </c>
    </row>
    <row r="489" spans="1:12" x14ac:dyDescent="0.25">
      <c r="A489" t="s">
        <v>555</v>
      </c>
      <c r="B489" t="s">
        <v>54</v>
      </c>
      <c r="C489">
        <v>70</v>
      </c>
      <c r="D489" t="s">
        <v>25</v>
      </c>
      <c r="E489" t="s">
        <v>55</v>
      </c>
      <c r="F489" t="s">
        <v>56</v>
      </c>
      <c r="G489" s="1">
        <v>45685</v>
      </c>
      <c r="H489" t="s">
        <v>52</v>
      </c>
      <c r="I489">
        <v>44512</v>
      </c>
      <c r="J489">
        <v>8</v>
      </c>
      <c r="K489" t="s">
        <v>29</v>
      </c>
      <c r="L489" t="s">
        <v>19</v>
      </c>
    </row>
    <row r="490" spans="1:12" x14ac:dyDescent="0.25">
      <c r="A490" t="s">
        <v>556</v>
      </c>
      <c r="B490" t="s">
        <v>49</v>
      </c>
      <c r="C490">
        <v>63</v>
      </c>
      <c r="D490" t="s">
        <v>14</v>
      </c>
      <c r="E490" t="s">
        <v>15</v>
      </c>
      <c r="F490" t="s">
        <v>16</v>
      </c>
      <c r="G490" s="1">
        <v>45661</v>
      </c>
      <c r="H490" t="s">
        <v>102</v>
      </c>
      <c r="I490">
        <v>100525</v>
      </c>
      <c r="J490">
        <v>10</v>
      </c>
      <c r="K490" t="s">
        <v>18</v>
      </c>
      <c r="L490" t="s">
        <v>30</v>
      </c>
    </row>
    <row r="491" spans="1:12" x14ac:dyDescent="0.25">
      <c r="A491" t="s">
        <v>557</v>
      </c>
      <c r="B491" t="s">
        <v>49</v>
      </c>
      <c r="C491">
        <v>71</v>
      </c>
      <c r="D491" t="s">
        <v>14</v>
      </c>
      <c r="E491" t="s">
        <v>55</v>
      </c>
      <c r="F491" t="s">
        <v>56</v>
      </c>
      <c r="G491" s="1">
        <v>45675</v>
      </c>
      <c r="H491" t="s">
        <v>76</v>
      </c>
      <c r="I491">
        <v>50006</v>
      </c>
      <c r="J491">
        <v>11</v>
      </c>
      <c r="K491" t="s">
        <v>18</v>
      </c>
      <c r="L491" t="s">
        <v>30</v>
      </c>
    </row>
    <row r="492" spans="1:12" x14ac:dyDescent="0.25">
      <c r="A492" t="s">
        <v>558</v>
      </c>
      <c r="B492" t="s">
        <v>72</v>
      </c>
      <c r="C492">
        <v>26</v>
      </c>
      <c r="D492" t="s">
        <v>14</v>
      </c>
      <c r="E492" t="s">
        <v>33</v>
      </c>
      <c r="F492" t="s">
        <v>34</v>
      </c>
      <c r="G492" s="1">
        <v>45661</v>
      </c>
      <c r="H492" t="s">
        <v>39</v>
      </c>
      <c r="I492">
        <v>81065</v>
      </c>
      <c r="J492">
        <v>3</v>
      </c>
      <c r="K492" t="s">
        <v>18</v>
      </c>
      <c r="L492" t="s">
        <v>30</v>
      </c>
    </row>
    <row r="493" spans="1:12" x14ac:dyDescent="0.25">
      <c r="A493" t="s">
        <v>559</v>
      </c>
      <c r="B493" t="s">
        <v>78</v>
      </c>
      <c r="C493">
        <v>47</v>
      </c>
      <c r="D493" t="s">
        <v>25</v>
      </c>
      <c r="E493" t="s">
        <v>37</v>
      </c>
      <c r="F493" t="s">
        <v>38</v>
      </c>
      <c r="G493" s="1">
        <v>45680</v>
      </c>
      <c r="H493" t="s">
        <v>57</v>
      </c>
      <c r="I493">
        <v>15125</v>
      </c>
      <c r="J493">
        <v>12</v>
      </c>
      <c r="K493" t="s">
        <v>29</v>
      </c>
      <c r="L493" t="s">
        <v>30</v>
      </c>
    </row>
    <row r="494" spans="1:12" x14ac:dyDescent="0.25">
      <c r="A494" t="s">
        <v>560</v>
      </c>
      <c r="B494" t="s">
        <v>98</v>
      </c>
      <c r="C494">
        <v>25</v>
      </c>
      <c r="D494" t="s">
        <v>14</v>
      </c>
      <c r="E494" t="s">
        <v>15</v>
      </c>
      <c r="F494" t="s">
        <v>16</v>
      </c>
      <c r="G494" s="1">
        <v>45672</v>
      </c>
      <c r="H494" t="s">
        <v>76</v>
      </c>
      <c r="I494">
        <v>18647</v>
      </c>
      <c r="J494">
        <v>7</v>
      </c>
      <c r="K494" t="s">
        <v>18</v>
      </c>
      <c r="L494" t="s">
        <v>19</v>
      </c>
    </row>
    <row r="495" spans="1:12" x14ac:dyDescent="0.25">
      <c r="A495" t="s">
        <v>561</v>
      </c>
      <c r="B495" t="s">
        <v>54</v>
      </c>
      <c r="C495">
        <v>53</v>
      </c>
      <c r="D495" t="s">
        <v>14</v>
      </c>
      <c r="E495" t="s">
        <v>15</v>
      </c>
      <c r="F495" t="s">
        <v>16</v>
      </c>
      <c r="G495" s="1">
        <v>45684</v>
      </c>
      <c r="H495" t="s">
        <v>74</v>
      </c>
      <c r="I495">
        <v>67628</v>
      </c>
      <c r="J495">
        <v>12</v>
      </c>
      <c r="K495" t="s">
        <v>18</v>
      </c>
      <c r="L495" t="s">
        <v>19</v>
      </c>
    </row>
    <row r="496" spans="1:12" x14ac:dyDescent="0.25">
      <c r="A496" t="s">
        <v>562</v>
      </c>
      <c r="B496" t="s">
        <v>51</v>
      </c>
      <c r="C496">
        <v>64</v>
      </c>
      <c r="D496" t="s">
        <v>25</v>
      </c>
      <c r="E496" t="s">
        <v>26</v>
      </c>
      <c r="F496" t="s">
        <v>27</v>
      </c>
      <c r="G496" s="1">
        <v>45661</v>
      </c>
      <c r="H496" t="s">
        <v>65</v>
      </c>
      <c r="I496">
        <v>87182</v>
      </c>
      <c r="J496">
        <v>9</v>
      </c>
      <c r="K496" t="s">
        <v>29</v>
      </c>
      <c r="L496" t="s">
        <v>19</v>
      </c>
    </row>
    <row r="497" spans="1:12" x14ac:dyDescent="0.25">
      <c r="A497" t="s">
        <v>563</v>
      </c>
      <c r="B497" t="s">
        <v>32</v>
      </c>
      <c r="C497">
        <v>80</v>
      </c>
      <c r="D497" t="s">
        <v>25</v>
      </c>
      <c r="E497" t="s">
        <v>37</v>
      </c>
      <c r="F497" t="s">
        <v>38</v>
      </c>
      <c r="G497" s="1">
        <v>45666</v>
      </c>
      <c r="H497" t="s">
        <v>65</v>
      </c>
      <c r="I497">
        <v>45939</v>
      </c>
      <c r="J497">
        <v>4</v>
      </c>
      <c r="K497" t="s">
        <v>29</v>
      </c>
      <c r="L497" t="s">
        <v>30</v>
      </c>
    </row>
    <row r="498" spans="1:12" x14ac:dyDescent="0.25">
      <c r="A498" t="s">
        <v>564</v>
      </c>
      <c r="B498" t="s">
        <v>32</v>
      </c>
      <c r="C498">
        <v>56</v>
      </c>
      <c r="D498" t="s">
        <v>14</v>
      </c>
      <c r="E498" t="s">
        <v>33</v>
      </c>
      <c r="F498" t="s">
        <v>34</v>
      </c>
      <c r="G498" s="1">
        <v>45684</v>
      </c>
      <c r="H498" t="s">
        <v>57</v>
      </c>
      <c r="I498">
        <v>94306</v>
      </c>
      <c r="J498">
        <v>11</v>
      </c>
      <c r="K498" t="s">
        <v>18</v>
      </c>
      <c r="L498" t="s">
        <v>30</v>
      </c>
    </row>
    <row r="499" spans="1:12" x14ac:dyDescent="0.25">
      <c r="A499" t="s">
        <v>565</v>
      </c>
      <c r="B499" t="s">
        <v>70</v>
      </c>
      <c r="C499">
        <v>63</v>
      </c>
      <c r="D499" t="s">
        <v>14</v>
      </c>
      <c r="E499" t="s">
        <v>33</v>
      </c>
      <c r="F499" t="s">
        <v>34</v>
      </c>
      <c r="G499" s="1">
        <v>45679</v>
      </c>
      <c r="H499" t="s">
        <v>44</v>
      </c>
      <c r="I499">
        <v>89129</v>
      </c>
      <c r="J499">
        <v>2</v>
      </c>
      <c r="K499" t="s">
        <v>18</v>
      </c>
      <c r="L499" t="s">
        <v>19</v>
      </c>
    </row>
    <row r="500" spans="1:12" x14ac:dyDescent="0.25">
      <c r="A500" t="s">
        <v>566</v>
      </c>
      <c r="B500" t="s">
        <v>59</v>
      </c>
      <c r="C500">
        <v>63</v>
      </c>
      <c r="D500" t="s">
        <v>25</v>
      </c>
      <c r="E500" t="s">
        <v>26</v>
      </c>
      <c r="F500" t="s">
        <v>27</v>
      </c>
      <c r="G500" s="1">
        <v>45682</v>
      </c>
      <c r="H500" t="s">
        <v>44</v>
      </c>
      <c r="I500">
        <v>74699</v>
      </c>
      <c r="J500">
        <v>7</v>
      </c>
      <c r="K500" t="s">
        <v>29</v>
      </c>
      <c r="L500" t="s">
        <v>19</v>
      </c>
    </row>
    <row r="501" spans="1:12" x14ac:dyDescent="0.25">
      <c r="A501" t="s">
        <v>567</v>
      </c>
      <c r="B501" t="s">
        <v>21</v>
      </c>
      <c r="C501">
        <v>36</v>
      </c>
      <c r="D501" t="s">
        <v>14</v>
      </c>
      <c r="E501" t="s">
        <v>15</v>
      </c>
      <c r="F501" t="s">
        <v>16</v>
      </c>
      <c r="G501" s="1">
        <v>45683</v>
      </c>
      <c r="H501" t="s">
        <v>22</v>
      </c>
      <c r="I501">
        <v>69515</v>
      </c>
      <c r="J501">
        <v>1</v>
      </c>
      <c r="K501" t="s">
        <v>18</v>
      </c>
      <c r="L501" t="s">
        <v>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Z1"/>
  <sheetViews>
    <sheetView showGridLines="0" tabSelected="1" zoomScale="83" workbookViewId="0">
      <selection activeCell="X5" sqref="X5"/>
    </sheetView>
  </sheetViews>
  <sheetFormatPr defaultRowHeight="13.8" x14ac:dyDescent="0.25"/>
  <cols>
    <col min="1" max="16384" width="8.796875" style="2"/>
  </cols>
  <sheetData>
    <row r="1" spans="26:26" x14ac:dyDescent="0.25">
      <c r="Z1" s="2">
        <f>COUNTA(healthcare_500_rows!A2:A501)</f>
        <v>500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3A73B-5F22-49DA-BAD0-0125FE29DD29}">
  <dimension ref="A1:A5"/>
  <sheetViews>
    <sheetView workbookViewId="0">
      <selection activeCell="A6" sqref="A6"/>
    </sheetView>
  </sheetViews>
  <sheetFormatPr defaultRowHeight="13.8" x14ac:dyDescent="0.25"/>
  <sheetData>
    <row r="1" spans="1:1" x14ac:dyDescent="0.25">
      <c r="A1">
        <f>COUNTA(healthcare_500_rows!A2:A501)</f>
        <v>500</v>
      </c>
    </row>
    <row r="2" spans="1:1" x14ac:dyDescent="0.25">
      <c r="A2">
        <f>AVERAGE(healthcare_500_rows!C2:C501)</f>
        <v>48.826000000000001</v>
      </c>
    </row>
    <row r="3" spans="1:1" x14ac:dyDescent="0.25">
      <c r="A3">
        <f>SUM(healthcare_500_rows!I2:I501)</f>
        <v>30906038</v>
      </c>
    </row>
    <row r="4" spans="1:1" x14ac:dyDescent="0.25">
      <c r="A4">
        <f>COUNTIF(healthcare_500_rows!D2:D501,"M")</f>
        <v>233</v>
      </c>
    </row>
    <row r="5" spans="1:1" x14ac:dyDescent="0.25">
      <c r="A5">
        <f>COUNTIF(healthcare_500_rows!D3:D501,"F")</f>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healthcare_500_rows</vt:lpstr>
      <vt:lpstr>DASHBOARD</vt:lpstr>
      <vt:lpstr>KPI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Mสlΐ𝕙ส🦋</dc:creator>
  <cp:lastModifiedBy>Maliha Begum</cp:lastModifiedBy>
  <dcterms:created xsi:type="dcterms:W3CDTF">2025-11-26T04:57:26Z</dcterms:created>
  <dcterms:modified xsi:type="dcterms:W3CDTF">2025-11-29T08:20:09Z</dcterms:modified>
</cp:coreProperties>
</file>